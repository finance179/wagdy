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93" firstSheet="0" activeTab="0" autoFilterDateGrouping="1"/>
  </bookViews>
  <sheets>
    <sheet xmlns:r="http://schemas.openxmlformats.org/officeDocument/2006/relationships" name="الشقق السكنية" sheetId="1" state="visible" r:id="rId1"/>
    <sheet xmlns:r="http://schemas.openxmlformats.org/officeDocument/2006/relationships" name="Sheet1" sheetId="2" state="visible" r:id="rId2"/>
  </sheets>
  <definedNames/>
  <calcPr calcId="191029" fullCalcOnLoad="1" iterateDelta="0.0001"/>
</workbook>
</file>

<file path=xl/styles.xml><?xml version="1.0" encoding="utf-8"?>
<styleSheet xmlns="http://schemas.openxmlformats.org/spreadsheetml/2006/main">
  <numFmts count="14">
    <numFmt numFmtId="164" formatCode="#,##0;\(#,##0\);\-"/>
    <numFmt numFmtId="165" formatCode="0.0%;\(0.0%\);\-"/>
    <numFmt numFmtId="166" formatCode="#,##0.0;\(#,##0.0\);\-"/>
    <numFmt numFmtId="167" formatCode="#,##0_);\(#,##0\);\-"/>
    <numFmt numFmtId="168" formatCode="#,##0.00_);\(#,##0.00\);\-"/>
    <numFmt numFmtId="169" formatCode="#,##0.0_);\(#,##0.0\);\-"/>
    <numFmt numFmtId="170" formatCode="0.00%;\(0.00%\);\-"/>
    <numFmt numFmtId="171" formatCode="0.0%"/>
    <numFmt numFmtId="172" formatCode="0%;\(0%\);\-"/>
    <numFmt numFmtId="173" formatCode="_-* #,##0.00_-;\-* #,##0.00_-;_-* &quot;-&quot;??_-;_-@_-"/>
    <numFmt numFmtId="174" formatCode="yyyy\-mm\-dd;@"/>
    <numFmt numFmtId="175" formatCode="yyyy-mm-dd"/>
    <numFmt numFmtId="176" formatCode="dd/mm/yyyy"/>
    <numFmt numFmtId="177" formatCode="#,##0.00;\(#,##0.00\);\-"/>
  </numFmts>
  <fonts count="2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</font>
    <font>
      <name val="Calibri"/>
      <family val="2"/>
      <b val="1"/>
      <color theme="1"/>
      <sz val="11"/>
    </font>
    <font>
      <name val="Calibri"/>
      <family val="2"/>
      <sz val="11"/>
    </font>
    <font>
      <name val="Calibri"/>
      <family val="2"/>
      <color rgb="FF0070C0"/>
      <sz val="11"/>
      <scheme val="minor"/>
    </font>
    <font>
      <name val="Calibri"/>
      <family val="2"/>
      <color rgb="FF0070C0"/>
      <sz val="11"/>
    </font>
    <font>
      <name val="Calibri"/>
      <family val="2"/>
      <color theme="1"/>
      <sz val="11"/>
    </font>
    <font>
      <name val="Calibri"/>
      <family val="2"/>
      <b val="1"/>
      <color rgb="FF0070C0"/>
      <sz val="11"/>
      <scheme val="minor"/>
    </font>
    <font>
      <name val="Calibri"/>
      <family val="2"/>
      <b val="1"/>
      <color theme="0"/>
      <sz val="11"/>
    </font>
    <font>
      <name val="Calibri"/>
      <family val="2"/>
      <color theme="0"/>
      <sz val="11"/>
    </font>
    <font>
      <name val="Calibri"/>
      <family val="2"/>
      <b val="1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rgb="FF0070C0"/>
      <sz val="11"/>
    </font>
    <font>
      <name val="Calibri"/>
      <family val="2"/>
      <color theme="1" tint="0.499984740745262"/>
      <sz val="11"/>
    </font>
    <font>
      <name val="Calibri"/>
      <family val="2"/>
      <color theme="0" tint="-0.499984740745262"/>
      <sz val="11"/>
    </font>
    <font>
      <name val="Calibri"/>
      <family val="2"/>
      <b val="1"/>
      <color theme="0" tint="-0.499984740745262"/>
      <sz val="11"/>
    </font>
    <font>
      <name val="Calibri"/>
      <family val="2"/>
      <color rgb="FF9C0006"/>
      <sz val="12"/>
      <scheme val="minor"/>
    </font>
    <font>
      <name val="Calibri"/>
      <family val="2"/>
      <color rgb="FF006100"/>
      <sz val="12"/>
      <scheme val="minor"/>
    </font>
    <font>
      <name val="Calibri"/>
      <family val="2"/>
      <b val="1"/>
      <color theme="1"/>
      <sz val="12"/>
      <scheme val="minor"/>
    </font>
    <font>
      <name val="Calibri"/>
      <b val="1"/>
      <sz val="11"/>
    </font>
    <font>
      <name val="Calibri"/>
      <sz val="11"/>
    </font>
    <font>
      <name val="Calibri"/>
      <color rgb="FF0070C0"/>
      <sz val="11"/>
    </font>
  </fonts>
  <fills count="21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darkDown"/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darkDown">
        <bgColor theme="0" tint="-0.049989318521683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ashed">
        <color rgb="FFBFBFBF"/>
      </left>
      <right style="dashed">
        <color rgb="FFBFBFBF"/>
      </right>
      <top style="dashed">
        <color rgb="FFBFBFBF"/>
      </top>
      <bottom style="dashed">
        <color rgb="FFBFBFBF"/>
      </bottom>
    </border>
  </borders>
  <cellStyleXfs count="7">
    <xf numFmtId="0" fontId="1" fillId="0" borderId="0"/>
    <xf numFmtId="0" fontId="1" fillId="0" borderId="0"/>
    <xf numFmtId="9" fontId="1" fillId="0" borderId="0"/>
    <xf numFmtId="173" fontId="1" fillId="0" borderId="0"/>
    <xf numFmtId="0" fontId="19" fillId="17" borderId="0"/>
    <xf numFmtId="0" fontId="20" fillId="18" borderId="0"/>
    <xf numFmtId="0" fontId="21" fillId="0" borderId="8"/>
  </cellStyleXfs>
  <cellXfs count="301">
    <xf numFmtId="0" fontId="0" fillId="0" borderId="0" pivotButton="0" quotePrefix="0" xfId="0"/>
    <xf numFmtId="164" fontId="5" fillId="0" borderId="3" applyAlignment="1" pivotButton="0" quotePrefix="0" xfId="1">
      <alignment horizontal="right" vertical="center"/>
    </xf>
    <xf numFmtId="164" fontId="6" fillId="0" borderId="3" applyAlignment="1" pivotButton="0" quotePrefix="0" xfId="1">
      <alignment horizontal="right" vertical="center"/>
    </xf>
    <xf numFmtId="164" fontId="5" fillId="0" borderId="5" applyAlignment="1" pivotButton="0" quotePrefix="0" xfId="1">
      <alignment horizontal="center" vertical="center"/>
    </xf>
    <xf numFmtId="165" fontId="7" fillId="8" borderId="3" applyAlignment="1" pivotButton="0" quotePrefix="0" xfId="0">
      <alignment horizontal="center" vertical="center"/>
    </xf>
    <xf numFmtId="165" fontId="8" fillId="0" borderId="3" applyAlignment="1" pivotButton="0" quotePrefix="0" xfId="1">
      <alignment horizontal="center" vertical="center"/>
    </xf>
    <xf numFmtId="164" fontId="5" fillId="0" borderId="0" applyAlignment="1" pivotButton="0" quotePrefix="0" xfId="1">
      <alignment horizontal="right" vertical="center"/>
    </xf>
    <xf numFmtId="164" fontId="6" fillId="0" borderId="0" applyAlignment="1" pivotButton="0" quotePrefix="0" xfId="1">
      <alignment horizontal="right" vertical="center"/>
    </xf>
    <xf numFmtId="164" fontId="6" fillId="0" borderId="6" applyAlignment="1" pivotButton="0" quotePrefix="0" xfId="1">
      <alignment horizontal="center" vertical="center"/>
    </xf>
    <xf numFmtId="165" fontId="7" fillId="8" borderId="0" applyAlignment="1" pivotButton="0" quotePrefix="0" xfId="0">
      <alignment horizontal="center" vertical="center"/>
    </xf>
    <xf numFmtId="164" fontId="9" fillId="0" borderId="0" applyAlignment="1" pivotButton="0" quotePrefix="0" xfId="1">
      <alignment horizontal="center" vertical="center"/>
    </xf>
    <xf numFmtId="164" fontId="6" fillId="0" borderId="0" applyAlignment="1" pivotButton="0" quotePrefix="0" xfId="1">
      <alignment horizontal="center" vertical="center"/>
    </xf>
    <xf numFmtId="164" fontId="5" fillId="2" borderId="1" applyAlignment="1" pivotButton="0" quotePrefix="0" xfId="1">
      <alignment horizontal="right" vertical="center"/>
    </xf>
    <xf numFmtId="164" fontId="4" fillId="2" borderId="1" applyAlignment="1" pivotButton="0" quotePrefix="0" xfId="1">
      <alignment horizontal="right" vertical="center"/>
    </xf>
    <xf numFmtId="164" fontId="4" fillId="2" borderId="4" applyAlignment="1" pivotButton="0" quotePrefix="0" xfId="1">
      <alignment horizontal="center" vertical="center"/>
    </xf>
    <xf numFmtId="165" fontId="10" fillId="12" borderId="1" applyAlignment="1" pivotButton="0" quotePrefix="0" xfId="0">
      <alignment horizontal="center" vertical="center"/>
    </xf>
    <xf numFmtId="164" fontId="4" fillId="2" borderId="1" applyAlignment="1" pivotButton="0" quotePrefix="0" xfId="1">
      <alignment horizontal="center" vertical="center"/>
    </xf>
    <xf numFmtId="164" fontId="6" fillId="0" borderId="1" applyAlignment="1" pivotButton="0" quotePrefix="0" xfId="1">
      <alignment horizontal="right" vertical="center"/>
    </xf>
    <xf numFmtId="164" fontId="5" fillId="0" borderId="4" applyAlignment="1" pivotButton="0" quotePrefix="0" xfId="1">
      <alignment horizontal="center" vertical="center"/>
    </xf>
    <xf numFmtId="165" fontId="9" fillId="8" borderId="1" applyAlignment="1" pivotButton="0" quotePrefix="0" xfId="1">
      <alignment horizontal="center" vertical="center"/>
    </xf>
    <xf numFmtId="165" fontId="8" fillId="0" borderId="1" applyAlignment="1" pivotButton="0" quotePrefix="0" xfId="1">
      <alignment horizontal="center" vertical="center"/>
    </xf>
    <xf numFmtId="166" fontId="6" fillId="0" borderId="0" applyAlignment="1" pivotButton="0" quotePrefix="0" xfId="1">
      <alignment horizontal="right" vertical="center"/>
    </xf>
    <xf numFmtId="164" fontId="6" fillId="8" borderId="0" applyAlignment="1" pivotButton="0" quotePrefix="0" xfId="1">
      <alignment horizontal="center" vertical="center"/>
    </xf>
    <xf numFmtId="164" fontId="11" fillId="3" borderId="0" applyAlignment="1" pivotButton="0" quotePrefix="0" xfId="1">
      <alignment horizontal="right" vertical="center"/>
    </xf>
    <xf numFmtId="164" fontId="12" fillId="3" borderId="0" applyAlignment="1" pivotButton="0" quotePrefix="0" xfId="1">
      <alignment horizontal="right" vertical="center"/>
    </xf>
    <xf numFmtId="164" fontId="12" fillId="3" borderId="0" applyAlignment="1" pivotButton="0" quotePrefix="0" xfId="1">
      <alignment horizontal="center" vertical="center"/>
    </xf>
    <xf numFmtId="164" fontId="11" fillId="6" borderId="0" applyAlignment="1" pivotButton="0" quotePrefix="0" xfId="1">
      <alignment horizontal="right" vertical="center"/>
    </xf>
    <xf numFmtId="164" fontId="12" fillId="6" borderId="0" applyAlignment="1" pivotButton="0" quotePrefix="0" xfId="1">
      <alignment horizontal="right" vertical="center"/>
    </xf>
    <xf numFmtId="164" fontId="12" fillId="6" borderId="0" applyAlignment="1" pivotButton="0" quotePrefix="0" xfId="1">
      <alignment horizontal="center" vertical="center"/>
    </xf>
    <xf numFmtId="164" fontId="9" fillId="0" borderId="0" applyAlignment="1" pivotButton="0" quotePrefix="0" xfId="1">
      <alignment horizontal="right" vertical="center"/>
    </xf>
    <xf numFmtId="164" fontId="8" fillId="0" borderId="0" applyAlignment="1" pivotButton="0" quotePrefix="0" xfId="1">
      <alignment horizontal="center" vertical="center"/>
    </xf>
    <xf numFmtId="164" fontId="9" fillId="0" borderId="2" applyAlignment="1" pivotButton="0" quotePrefix="0" xfId="1">
      <alignment horizontal="center" vertical="center"/>
    </xf>
    <xf numFmtId="164" fontId="8" fillId="0" borderId="2" applyAlignment="1" pivotButton="0" quotePrefix="0" xfId="1">
      <alignment horizontal="center" vertical="center"/>
    </xf>
    <xf numFmtId="164" fontId="9" fillId="0" borderId="2" applyAlignment="1" pivotButton="0" quotePrefix="0" xfId="1">
      <alignment horizontal="right" vertical="center"/>
    </xf>
    <xf numFmtId="167" fontId="13" fillId="2" borderId="1" applyAlignment="1" pivotButton="0" quotePrefix="0" xfId="0">
      <alignment horizontal="right" vertical="center" wrapText="1"/>
    </xf>
    <xf numFmtId="167" fontId="3" fillId="2" borderId="1" applyAlignment="1" pivotButton="0" quotePrefix="0" xfId="0">
      <alignment horizontal="center" vertical="center"/>
    </xf>
    <xf numFmtId="167" fontId="13" fillId="2" borderId="1" applyAlignment="1" pivotButton="0" quotePrefix="0" xfId="0">
      <alignment horizontal="center" vertical="center"/>
    </xf>
    <xf numFmtId="167" fontId="14" fillId="0" borderId="0" applyAlignment="1" pivotButton="0" quotePrefix="0" xfId="0">
      <alignment horizontal="right" vertical="center" wrapText="1"/>
    </xf>
    <xf numFmtId="165" fontId="7" fillId="0" borderId="0" applyAlignment="1" pivotButton="0" quotePrefix="0" xfId="2">
      <alignment horizontal="center" vertical="center"/>
    </xf>
    <xf numFmtId="167" fontId="14" fillId="0" borderId="0" applyAlignment="1" pivotButton="0" quotePrefix="0" xfId="0">
      <alignment horizontal="center" vertical="center"/>
    </xf>
    <xf numFmtId="167" fontId="13" fillId="0" borderId="0" applyAlignment="1" pivotButton="0" quotePrefix="0" xfId="0">
      <alignment horizontal="right" vertical="center" wrapText="1"/>
    </xf>
    <xf numFmtId="168" fontId="14" fillId="0" borderId="0" applyAlignment="1" pivotButton="0" quotePrefix="0" xfId="0">
      <alignment horizontal="center" vertical="center"/>
    </xf>
    <xf numFmtId="167" fontId="7" fillId="0" borderId="3" applyAlignment="1" pivotButton="0" quotePrefix="0" xfId="0">
      <alignment horizontal="center" vertical="center"/>
    </xf>
    <xf numFmtId="169" fontId="7" fillId="0" borderId="0" applyAlignment="1" pivotButton="0" quotePrefix="0" xfId="0">
      <alignment horizontal="center" vertical="center"/>
    </xf>
    <xf numFmtId="167" fontId="2" fillId="10" borderId="1" applyAlignment="1" pivotButton="0" quotePrefix="0" xfId="0">
      <alignment horizontal="right" vertical="center" wrapText="1"/>
    </xf>
    <xf numFmtId="167" fontId="2" fillId="10" borderId="1" applyAlignment="1" pivotButton="0" quotePrefix="0" xfId="0">
      <alignment horizontal="center" vertical="center"/>
    </xf>
    <xf numFmtId="167" fontId="13" fillId="0" borderId="1" applyAlignment="1" pivotButton="0" quotePrefix="0" xfId="0">
      <alignment horizontal="right" vertical="center" wrapText="1"/>
    </xf>
    <xf numFmtId="167" fontId="14" fillId="0" borderId="1" applyAlignment="1" pivotButton="0" quotePrefix="0" xfId="0">
      <alignment horizontal="center" vertical="center"/>
    </xf>
    <xf numFmtId="167" fontId="7" fillId="0" borderId="0" applyAlignment="1" pivotButton="0" quotePrefix="0" xfId="0">
      <alignment horizontal="center" vertical="center"/>
    </xf>
    <xf numFmtId="167" fontId="13" fillId="11" borderId="1" applyAlignment="1" pivotButton="0" quotePrefix="0" xfId="0">
      <alignment horizontal="right" vertical="center" wrapText="1"/>
    </xf>
    <xf numFmtId="168" fontId="13" fillId="11" borderId="1" applyAlignment="1" pivotButton="0" quotePrefix="0" xfId="0">
      <alignment horizontal="center" vertical="center"/>
    </xf>
    <xf numFmtId="164" fontId="11" fillId="3" borderId="1" applyAlignment="1" pivotButton="0" quotePrefix="0" xfId="1">
      <alignment horizontal="right" vertical="center"/>
    </xf>
    <xf numFmtId="164" fontId="8" fillId="4" borderId="0" applyAlignment="1" pivotButton="0" quotePrefix="0" xfId="1">
      <alignment horizontal="center" vertical="center"/>
    </xf>
    <xf numFmtId="165" fontId="8" fillId="0" borderId="0" applyAlignment="1" pivotButton="0" quotePrefix="0" xfId="1">
      <alignment horizontal="center" vertical="center"/>
    </xf>
    <xf numFmtId="164" fontId="5" fillId="2" borderId="1" applyAlignment="1" pivotButton="0" quotePrefix="0" xfId="1">
      <alignment horizontal="center" vertical="center"/>
    </xf>
    <xf numFmtId="165" fontId="8" fillId="0" borderId="2" applyAlignment="1" pivotButton="0" quotePrefix="0" xfId="1">
      <alignment horizontal="center" vertical="center"/>
    </xf>
    <xf numFmtId="164" fontId="9" fillId="2" borderId="1" applyAlignment="1" pivotButton="0" quotePrefix="0" xfId="1">
      <alignment horizontal="right" vertical="center"/>
    </xf>
    <xf numFmtId="164" fontId="11" fillId="7" borderId="1" applyAlignment="1" pivotButton="0" quotePrefix="0" xfId="1">
      <alignment horizontal="right" vertical="center"/>
    </xf>
    <xf numFmtId="164" fontId="11" fillId="7" borderId="1" applyAlignment="1" pivotButton="0" quotePrefix="0" xfId="1">
      <alignment horizontal="center" vertical="center"/>
    </xf>
    <xf numFmtId="164" fontId="11" fillId="5" borderId="1" applyAlignment="1" pivotButton="0" quotePrefix="0" xfId="1">
      <alignment horizontal="right" vertical="center"/>
    </xf>
    <xf numFmtId="164" fontId="11" fillId="5" borderId="1" applyAlignment="1" pivotButton="0" quotePrefix="0" xfId="1">
      <alignment horizontal="center" vertical="center"/>
    </xf>
    <xf numFmtId="164" fontId="11" fillId="3" borderId="3" applyAlignment="1" pivotButton="0" quotePrefix="0" xfId="1">
      <alignment horizontal="right" vertical="center"/>
    </xf>
    <xf numFmtId="164" fontId="11" fillId="3" borderId="3" applyAlignment="1" pivotButton="0" quotePrefix="0" xfId="1">
      <alignment horizontal="center" vertical="center"/>
    </xf>
    <xf numFmtId="164" fontId="6" fillId="0" borderId="3" applyAlignment="1" pivotButton="0" quotePrefix="0" xfId="1">
      <alignment horizontal="center" vertical="center"/>
    </xf>
    <xf numFmtId="170" fontId="8" fillId="0" borderId="2" applyAlignment="1" pivotButton="0" quotePrefix="0" xfId="1">
      <alignment horizontal="center" vertical="center"/>
    </xf>
    <xf numFmtId="164" fontId="5" fillId="0" borderId="3" applyAlignment="1" pivotButton="0" quotePrefix="0" xfId="1">
      <alignment horizontal="center" vertical="center"/>
    </xf>
    <xf numFmtId="164" fontId="5" fillId="0" borderId="2" applyAlignment="1" pivotButton="0" quotePrefix="0" xfId="1">
      <alignment horizontal="right" vertical="center"/>
    </xf>
    <xf numFmtId="164" fontId="5" fillId="0" borderId="2" applyAlignment="1" pivotButton="0" quotePrefix="0" xfId="1">
      <alignment horizontal="center" vertical="center"/>
    </xf>
    <xf numFmtId="164" fontId="11" fillId="3" borderId="5" applyAlignment="1" pivotButton="0" quotePrefix="0" xfId="1">
      <alignment horizontal="center" vertical="center"/>
    </xf>
    <xf numFmtId="164" fontId="11" fillId="7" borderId="4" applyAlignment="1" pivotButton="0" quotePrefix="0" xfId="1">
      <alignment horizontal="center" vertical="center"/>
    </xf>
    <xf numFmtId="164" fontId="9" fillId="0" borderId="6" applyAlignment="1" pivotButton="0" quotePrefix="0" xfId="1">
      <alignment horizontal="center" vertical="center"/>
    </xf>
    <xf numFmtId="164" fontId="5" fillId="2" borderId="4" applyAlignment="1" pivotButton="0" quotePrefix="0" xfId="1">
      <alignment horizontal="center" vertical="center"/>
    </xf>
    <xf numFmtId="165" fontId="8" fillId="4" borderId="6" applyAlignment="1" pivotButton="0" quotePrefix="0" xfId="1">
      <alignment horizontal="center" vertical="center"/>
    </xf>
    <xf numFmtId="165" fontId="6" fillId="0" borderId="6" applyAlignment="1" pivotButton="0" quotePrefix="0" xfId="1">
      <alignment horizontal="center" vertical="center"/>
    </xf>
    <xf numFmtId="164" fontId="5" fillId="2" borderId="3" applyAlignment="1" pivotButton="0" quotePrefix="0" xfId="1">
      <alignment horizontal="right" vertical="center"/>
    </xf>
    <xf numFmtId="164" fontId="5" fillId="2" borderId="5" applyAlignment="1" pivotButton="0" quotePrefix="0" xfId="1">
      <alignment horizontal="center" vertical="center"/>
    </xf>
    <xf numFmtId="164" fontId="5" fillId="2" borderId="3" applyAlignment="1" pivotButton="0" quotePrefix="0" xfId="1">
      <alignment horizontal="center" vertical="center"/>
    </xf>
    <xf numFmtId="164" fontId="15" fillId="4" borderId="6" applyAlignment="1" pivotButton="0" quotePrefix="0" xfId="1">
      <alignment horizontal="center" vertical="center"/>
    </xf>
    <xf numFmtId="164" fontId="1" fillId="0" borderId="0" applyAlignment="1" pivotButton="0" quotePrefix="0" xfId="0">
      <alignment horizontal="right" vertical="center"/>
    </xf>
    <xf numFmtId="164" fontId="8" fillId="0" borderId="6" applyAlignment="1" pivotButton="0" quotePrefix="0" xfId="1">
      <alignment horizontal="center" vertical="center"/>
    </xf>
    <xf numFmtId="164" fontId="9" fillId="4" borderId="0" applyAlignment="1" pivotButton="0" quotePrefix="0" xfId="1">
      <alignment horizontal="center" vertical="center"/>
    </xf>
    <xf numFmtId="164" fontId="11" fillId="5" borderId="4" applyAlignment="1" pivotButton="0" quotePrefix="0" xfId="1">
      <alignment horizontal="center" vertical="center"/>
    </xf>
    <xf numFmtId="164" fontId="5" fillId="9" borderId="1" applyAlignment="1" pivotButton="0" quotePrefix="0" xfId="1">
      <alignment horizontal="right" vertical="center"/>
    </xf>
    <xf numFmtId="171" fontId="9" fillId="0" borderId="0" applyAlignment="1" pivotButton="0" quotePrefix="0" xfId="2">
      <alignment horizontal="center" vertical="center"/>
    </xf>
    <xf numFmtId="164" fontId="11" fillId="10" borderId="1" applyAlignment="1" pivotButton="0" quotePrefix="0" xfId="1">
      <alignment horizontal="center" vertical="center"/>
    </xf>
    <xf numFmtId="166" fontId="6" fillId="4" borderId="6" applyAlignment="1" pivotButton="0" quotePrefix="0" xfId="1">
      <alignment horizontal="center" vertical="center"/>
    </xf>
    <xf numFmtId="170" fontId="9" fillId="0" borderId="6" applyAlignment="1" pivotButton="0" quotePrefix="0" xfId="1">
      <alignment horizontal="center" vertical="center"/>
    </xf>
    <xf numFmtId="164" fontId="11" fillId="10" borderId="1" applyAlignment="1" pivotButton="0" quotePrefix="0" xfId="1">
      <alignment horizontal="right" vertical="center"/>
    </xf>
    <xf numFmtId="10" fontId="9" fillId="0" borderId="0" applyAlignment="1" pivotButton="0" quotePrefix="0" xfId="2">
      <alignment horizontal="center" vertical="center"/>
    </xf>
    <xf numFmtId="164" fontId="16" fillId="0" borderId="0" applyAlignment="1" pivotButton="0" quotePrefix="0" xfId="1">
      <alignment horizontal="right" vertical="center"/>
    </xf>
    <xf numFmtId="164" fontId="16" fillId="0" borderId="1" applyAlignment="1" pivotButton="0" quotePrefix="0" xfId="1">
      <alignment horizontal="right" vertical="center"/>
    </xf>
    <xf numFmtId="164" fontId="16" fillId="0" borderId="3" applyAlignment="1" pivotButton="0" quotePrefix="0" xfId="1">
      <alignment horizontal="right" vertical="center"/>
    </xf>
    <xf numFmtId="164" fontId="16" fillId="0" borderId="5" applyAlignment="1" pivotButton="0" quotePrefix="0" xfId="1">
      <alignment horizontal="center" vertical="center"/>
    </xf>
    <xf numFmtId="164" fontId="16" fillId="0" borderId="3" applyAlignment="1" pivotButton="0" quotePrefix="0" xfId="1">
      <alignment horizontal="center" vertical="center"/>
    </xf>
    <xf numFmtId="164" fontId="17" fillId="2" borderId="4" applyAlignment="1" pivotButton="0" quotePrefix="0" xfId="1">
      <alignment horizontal="center" vertical="center"/>
    </xf>
    <xf numFmtId="164" fontId="18" fillId="2" borderId="1" applyAlignment="1" pivotButton="0" quotePrefix="0" xfId="1">
      <alignment horizontal="right" vertical="center"/>
    </xf>
    <xf numFmtId="164" fontId="17" fillId="2" borderId="1" applyAlignment="1" pivotButton="0" quotePrefix="0" xfId="1">
      <alignment horizontal="right" vertical="center"/>
    </xf>
    <xf numFmtId="164" fontId="17" fillId="2" borderId="1" applyAlignment="1" pivotButton="0" quotePrefix="0" xfId="1">
      <alignment horizontal="center" vertical="center"/>
    </xf>
    <xf numFmtId="167" fontId="2" fillId="7" borderId="3" applyAlignment="1" pivotButton="0" quotePrefix="0" xfId="0">
      <alignment horizontal="right" vertical="center" wrapText="1"/>
    </xf>
    <xf numFmtId="167" fontId="2" fillId="7" borderId="3" applyAlignment="1" pivotButton="0" quotePrefix="0" xfId="0">
      <alignment horizontal="center" vertical="center" wrapText="1"/>
    </xf>
    <xf numFmtId="164" fontId="11" fillId="7" borderId="0" applyAlignment="1" pivotButton="0" quotePrefix="0" xfId="1">
      <alignment horizontal="center" vertical="center"/>
    </xf>
    <xf numFmtId="172" fontId="7" fillId="13" borderId="0" applyAlignment="1" pivotButton="0" quotePrefix="0" xfId="2">
      <alignment horizontal="center" vertical="center"/>
    </xf>
    <xf numFmtId="167" fontId="7" fillId="13" borderId="0" applyAlignment="1" pivotButton="0" quotePrefix="0" xfId="0">
      <alignment horizontal="center" vertical="center"/>
    </xf>
    <xf numFmtId="173" fontId="12" fillId="6" borderId="0" applyAlignment="1" pivotButton="0" quotePrefix="0" xfId="3">
      <alignment horizontal="center" vertical="center"/>
    </xf>
    <xf numFmtId="173" fontId="9" fillId="0" borderId="0" applyAlignment="1" pivotButton="0" quotePrefix="0" xfId="3">
      <alignment horizontal="center" vertical="center"/>
    </xf>
    <xf numFmtId="170" fontId="4" fillId="0" borderId="0" applyAlignment="1" pivotButton="0" quotePrefix="0" xfId="1">
      <alignment horizontal="center" vertical="center"/>
    </xf>
    <xf numFmtId="173" fontId="5" fillId="0" borderId="3" applyAlignment="1" pivotButton="0" quotePrefix="0" xfId="3">
      <alignment horizontal="center" vertical="center"/>
    </xf>
    <xf numFmtId="164" fontId="11" fillId="3" borderId="1" applyAlignment="1" pivotButton="0" quotePrefix="0" xfId="1">
      <alignment horizontal="center" vertical="center"/>
    </xf>
    <xf numFmtId="164" fontId="4" fillId="14" borderId="1" applyAlignment="1" pivotButton="0" quotePrefix="0" xfId="1">
      <alignment horizontal="right" vertical="center"/>
    </xf>
    <xf numFmtId="164" fontId="4" fillId="14" borderId="4" applyAlignment="1" pivotButton="0" quotePrefix="0" xfId="1">
      <alignment horizontal="center" vertical="center"/>
    </xf>
    <xf numFmtId="164" fontId="4" fillId="14" borderId="1" applyAlignment="1" pivotButton="0" quotePrefix="0" xfId="1">
      <alignment horizontal="center" vertical="center"/>
    </xf>
    <xf numFmtId="173" fontId="4" fillId="14" borderId="1" applyAlignment="1" pivotButton="0" quotePrefix="0" xfId="3">
      <alignment horizontal="center" vertical="center"/>
    </xf>
    <xf numFmtId="173" fontId="8" fillId="0" borderId="3" applyAlignment="1" pivotButton="0" quotePrefix="0" xfId="3">
      <alignment horizontal="center" vertical="center"/>
    </xf>
    <xf numFmtId="164" fontId="6" fillId="4" borderId="6" applyAlignment="1" pivotButton="0" quotePrefix="0" xfId="1">
      <alignment horizontal="center" vertical="center"/>
    </xf>
    <xf numFmtId="173" fontId="7" fillId="0" borderId="0" applyAlignment="1" pivotButton="0" quotePrefix="0" xfId="3">
      <alignment horizontal="center" vertical="center"/>
    </xf>
    <xf numFmtId="173" fontId="14" fillId="0" borderId="0" applyAlignment="1" pivotButton="0" quotePrefix="0" xfId="3">
      <alignment horizontal="center" vertical="center"/>
    </xf>
    <xf numFmtId="173" fontId="6" fillId="0" borderId="0" applyAlignment="1" pivotButton="0" quotePrefix="0" xfId="3">
      <alignment horizontal="center" vertical="center"/>
    </xf>
    <xf numFmtId="173" fontId="4" fillId="2" borderId="1" applyAlignment="1" pivotButton="0" quotePrefix="0" xfId="3">
      <alignment horizontal="center" vertical="center"/>
    </xf>
    <xf numFmtId="164" fontId="4" fillId="15" borderId="1" applyAlignment="1" pivotButton="0" quotePrefix="0" xfId="1">
      <alignment horizontal="right" vertical="center"/>
    </xf>
    <xf numFmtId="164" fontId="4" fillId="15" borderId="4" applyAlignment="1" pivotButton="0" quotePrefix="0" xfId="1">
      <alignment horizontal="center" vertical="center"/>
    </xf>
    <xf numFmtId="164" fontId="4" fillId="15" borderId="1" applyAlignment="1" pivotButton="0" quotePrefix="0" xfId="1">
      <alignment horizontal="center" vertical="center"/>
    </xf>
    <xf numFmtId="173" fontId="4" fillId="15" borderId="1" applyAlignment="1" pivotButton="0" quotePrefix="0" xfId="3">
      <alignment horizontal="center" vertical="center"/>
    </xf>
    <xf numFmtId="173" fontId="6" fillId="8" borderId="0" applyAlignment="1" pivotButton="0" quotePrefix="0" xfId="3">
      <alignment horizontal="center" vertical="center"/>
    </xf>
    <xf numFmtId="164" fontId="11" fillId="16" borderId="1" applyAlignment="1" pivotButton="0" quotePrefix="0" xfId="1">
      <alignment horizontal="right" vertical="center"/>
    </xf>
    <xf numFmtId="164" fontId="11" fillId="16" borderId="4" applyAlignment="1" pivotButton="0" quotePrefix="0" xfId="1">
      <alignment horizontal="center" vertical="center"/>
    </xf>
    <xf numFmtId="164" fontId="11" fillId="16" borderId="1" applyAlignment="1" pivotButton="0" quotePrefix="0" xfId="1">
      <alignment horizontal="center" vertical="center"/>
    </xf>
    <xf numFmtId="173" fontId="11" fillId="16" borderId="1" applyAlignment="1" pivotButton="0" quotePrefix="0" xfId="3">
      <alignment horizontal="center" vertical="center"/>
    </xf>
    <xf numFmtId="164" fontId="11" fillId="3" borderId="3" applyAlignment="1" pivotButton="0" quotePrefix="0" xfId="3">
      <alignment horizontal="center" vertical="center"/>
    </xf>
    <xf numFmtId="165" fontId="9" fillId="0" borderId="5" applyAlignment="1" pivotButton="0" quotePrefix="0" xfId="1">
      <alignment horizontal="center" vertical="center"/>
    </xf>
    <xf numFmtId="164" fontId="5" fillId="0" borderId="7" applyAlignment="1" pivotButton="0" quotePrefix="0" xfId="1">
      <alignment horizontal="center" vertical="center"/>
    </xf>
    <xf numFmtId="10" fontId="9" fillId="0" borderId="7" applyAlignment="1" pivotButton="0" quotePrefix="0" xfId="2">
      <alignment horizontal="center" vertical="center"/>
    </xf>
    <xf numFmtId="9" fontId="9" fillId="0" borderId="0" applyAlignment="1" pivotButton="0" quotePrefix="0" xfId="2">
      <alignment horizontal="center" vertical="center"/>
    </xf>
    <xf numFmtId="172" fontId="7" fillId="13" borderId="0" applyAlignment="1" pivotButton="0" quotePrefix="0" xfId="2">
      <alignment horizontal="center" vertical="center"/>
    </xf>
    <xf numFmtId="165" fontId="19" fillId="17" borderId="0" applyAlignment="1" pivotButton="0" quotePrefix="0" xfId="4">
      <alignment horizontal="center" vertical="center"/>
    </xf>
    <xf numFmtId="166" fontId="8" fillId="0" borderId="0" applyAlignment="1" pivotButton="0" quotePrefix="0" xfId="1">
      <alignment horizontal="center" vertical="center"/>
    </xf>
    <xf numFmtId="0" fontId="1" fillId="18" borderId="9" applyAlignment="1" pivotButton="0" quotePrefix="0" xfId="5">
      <alignment horizontal="center" vertical="center"/>
    </xf>
    <xf numFmtId="43" fontId="1" fillId="18" borderId="9" applyAlignment="1" pivotButton="0" quotePrefix="0" xfId="5">
      <alignment horizontal="center" vertical="center"/>
    </xf>
    <xf numFmtId="0" fontId="0" fillId="19" borderId="9" pivotButton="0" quotePrefix="0" xfId="0"/>
    <xf numFmtId="173" fontId="14" fillId="19" borderId="9" pivotButton="0" quotePrefix="0" xfId="3"/>
    <xf numFmtId="174" fontId="0" fillId="19" borderId="9" pivotButton="0" quotePrefix="0" xfId="3"/>
    <xf numFmtId="0" fontId="0" fillId="19" borderId="0" pivotButton="0" quotePrefix="0" xfId="0"/>
    <xf numFmtId="173" fontId="0" fillId="19" borderId="0" pivotButton="0" quotePrefix="0" xfId="3"/>
    <xf numFmtId="0" fontId="21" fillId="19" borderId="8" pivotButton="0" quotePrefix="0" xfId="6"/>
    <xf numFmtId="43" fontId="21" fillId="19" borderId="8" pivotButton="0" quotePrefix="0" xfId="6"/>
    <xf numFmtId="172" fontId="4" fillId="9" borderId="4" applyAlignment="1" pivotButton="0" quotePrefix="0" xfId="1">
      <alignment horizontal="center" vertical="center"/>
    </xf>
    <xf numFmtId="43" fontId="0" fillId="0" borderId="0" pivotButton="0" quotePrefix="0" xfId="0"/>
    <xf numFmtId="9" fontId="0" fillId="0" borderId="0" pivotButton="0" quotePrefix="0" xfId="2"/>
    <xf numFmtId="173" fontId="0" fillId="0" borderId="0" pivotButton="0" quotePrefix="0" xfId="3"/>
    <xf numFmtId="170" fontId="4" fillId="9" borderId="4" applyAlignment="1" pivotButton="0" quotePrefix="0" xfId="1">
      <alignment horizontal="center" vertical="center"/>
    </xf>
    <xf numFmtId="164" fontId="5" fillId="0" borderId="0" applyAlignment="1" pivotButton="0" quotePrefix="0" xfId="1">
      <alignment horizontal="right" vertical="center"/>
    </xf>
    <xf numFmtId="164" fontId="9" fillId="0" borderId="0" applyAlignment="1" pivotButton="0" quotePrefix="0" xfId="1">
      <alignment horizontal="right" vertical="center"/>
    </xf>
    <xf numFmtId="164" fontId="9" fillId="0" borderId="0" applyAlignment="1" pivotButton="0" quotePrefix="0" xfId="1">
      <alignment horizontal="center" vertical="center"/>
    </xf>
    <xf numFmtId="164" fontId="12" fillId="3" borderId="0" applyAlignment="1" pivotButton="0" quotePrefix="0" xfId="1">
      <alignment horizontal="center" vertical="center"/>
    </xf>
    <xf numFmtId="164" fontId="11" fillId="3" borderId="0" applyAlignment="1" pivotButton="0" quotePrefix="0" xfId="1">
      <alignment horizontal="right" vertical="center"/>
    </xf>
    <xf numFmtId="164" fontId="12" fillId="3" borderId="0" applyAlignment="1" pivotButton="0" quotePrefix="0" xfId="1">
      <alignment horizontal="right" vertical="center"/>
    </xf>
    <xf numFmtId="164" fontId="12" fillId="6" borderId="0" applyAlignment="1" pivotButton="0" quotePrefix="0" xfId="1">
      <alignment horizontal="center" vertical="center"/>
    </xf>
    <xf numFmtId="164" fontId="11" fillId="6" borderId="0" applyAlignment="1" pivotButton="0" quotePrefix="0" xfId="1">
      <alignment horizontal="right" vertical="center"/>
    </xf>
    <xf numFmtId="164" fontId="12" fillId="6" borderId="0" applyAlignment="1" pivotButton="0" quotePrefix="0" xfId="1">
      <alignment horizontal="right" vertical="center"/>
    </xf>
    <xf numFmtId="164" fontId="11" fillId="7" borderId="0" applyAlignment="1" pivotButton="0" quotePrefix="0" xfId="1">
      <alignment horizontal="center" vertical="center"/>
    </xf>
    <xf numFmtId="164" fontId="9" fillId="0" borderId="2" applyAlignment="1" pivotButton="0" quotePrefix="0" xfId="1">
      <alignment horizontal="right" vertical="center"/>
    </xf>
    <xf numFmtId="164" fontId="9" fillId="0" borderId="2" applyAlignment="1" pivotButton="0" quotePrefix="0" xfId="1">
      <alignment horizontal="center" vertical="center"/>
    </xf>
    <xf numFmtId="164" fontId="8" fillId="0" borderId="2" applyAlignment="1" pivotButton="0" quotePrefix="0" xfId="1">
      <alignment horizontal="center" vertical="center"/>
    </xf>
    <xf numFmtId="167" fontId="2" fillId="7" borderId="3" applyAlignment="1" pivotButton="0" quotePrefix="0" xfId="0">
      <alignment horizontal="right" vertical="center" wrapText="1"/>
    </xf>
    <xf numFmtId="167" fontId="2" fillId="7" borderId="3" applyAlignment="1" pivotButton="0" quotePrefix="0" xfId="0">
      <alignment horizontal="center" vertical="center" wrapText="1"/>
    </xf>
    <xf numFmtId="167" fontId="13" fillId="2" borderId="1" applyAlignment="1" pivotButton="0" quotePrefix="0" xfId="0">
      <alignment horizontal="right" vertical="center" wrapText="1"/>
    </xf>
    <xf numFmtId="167" fontId="3" fillId="2" borderId="1" applyAlignment="1" pivotButton="0" quotePrefix="0" xfId="0">
      <alignment horizontal="center" vertical="center"/>
    </xf>
    <xf numFmtId="167" fontId="14" fillId="0" borderId="0" applyAlignment="1" pivotButton="0" quotePrefix="0" xfId="0">
      <alignment horizontal="right" vertical="center" wrapText="1"/>
    </xf>
    <xf numFmtId="165" fontId="7" fillId="0" borderId="0" applyAlignment="1" pivotButton="0" quotePrefix="0" xfId="2">
      <alignment horizontal="center" vertical="center"/>
    </xf>
    <xf numFmtId="167" fontId="14" fillId="0" borderId="0" applyAlignment="1" pivotButton="0" quotePrefix="0" xfId="0">
      <alignment horizontal="center" vertical="center"/>
    </xf>
    <xf numFmtId="166" fontId="8" fillId="0" borderId="0" applyAlignment="1" pivotButton="0" quotePrefix="0" xfId="1">
      <alignment horizontal="center" vertical="center"/>
    </xf>
    <xf numFmtId="167" fontId="13" fillId="2" borderId="1" applyAlignment="1" pivotButton="0" quotePrefix="0" xfId="0">
      <alignment horizontal="center" vertical="center"/>
    </xf>
    <xf numFmtId="167" fontId="13" fillId="0" borderId="0" applyAlignment="1" pivotButton="0" quotePrefix="0" xfId="0">
      <alignment horizontal="right" vertical="center" wrapText="1"/>
    </xf>
    <xf numFmtId="168" fontId="14" fillId="0" borderId="0" applyAlignment="1" pivotButton="0" quotePrefix="0" xfId="0">
      <alignment horizontal="center" vertical="center"/>
    </xf>
    <xf numFmtId="172" fontId="7" fillId="13" borderId="0" applyAlignment="1" pivotButton="0" quotePrefix="0" xfId="2">
      <alignment horizontal="center" vertical="center"/>
    </xf>
    <xf numFmtId="167" fontId="7" fillId="0" borderId="3" applyAlignment="1" pivotButton="0" quotePrefix="0" xfId="0">
      <alignment horizontal="center" vertical="center"/>
    </xf>
    <xf numFmtId="169" fontId="7" fillId="0" borderId="0" applyAlignment="1" pivotButton="0" quotePrefix="0" xfId="0">
      <alignment horizontal="center" vertical="center"/>
    </xf>
    <xf numFmtId="167" fontId="2" fillId="10" borderId="1" applyAlignment="1" pivotButton="0" quotePrefix="0" xfId="0">
      <alignment horizontal="right" vertical="center" wrapText="1"/>
    </xf>
    <xf numFmtId="167" fontId="2" fillId="10" borderId="1" applyAlignment="1" pivotButton="0" quotePrefix="0" xfId="0">
      <alignment horizontal="center" vertical="center"/>
    </xf>
    <xf numFmtId="167" fontId="13" fillId="0" borderId="1" applyAlignment="1" pivotButton="0" quotePrefix="0" xfId="0">
      <alignment horizontal="right" vertical="center" wrapText="1"/>
    </xf>
    <xf numFmtId="167" fontId="14" fillId="0" borderId="1" applyAlignment="1" pivotButton="0" quotePrefix="0" xfId="0">
      <alignment horizontal="center" vertical="center"/>
    </xf>
    <xf numFmtId="167" fontId="7" fillId="0" borderId="0" applyAlignment="1" pivotButton="0" quotePrefix="0" xfId="0">
      <alignment horizontal="center" vertical="center"/>
    </xf>
    <xf numFmtId="167" fontId="7" fillId="13" borderId="0" applyAlignment="1" pivotButton="0" quotePrefix="0" xfId="0">
      <alignment horizontal="center" vertical="center"/>
    </xf>
    <xf numFmtId="164" fontId="8" fillId="0" borderId="0" applyAlignment="1" pivotButton="0" quotePrefix="0" xfId="1">
      <alignment horizontal="center" vertical="center"/>
    </xf>
    <xf numFmtId="167" fontId="13" fillId="11" borderId="1" applyAlignment="1" pivotButton="0" quotePrefix="0" xfId="0">
      <alignment horizontal="right" vertical="center" wrapText="1"/>
    </xf>
    <xf numFmtId="168" fontId="13" fillId="11" borderId="1" applyAlignment="1" pivotButton="0" quotePrefix="0" xfId="0">
      <alignment horizontal="center" vertical="center"/>
    </xf>
    <xf numFmtId="164" fontId="11" fillId="7" borderId="1" applyAlignment="1" pivotButton="0" quotePrefix="0" xfId="1">
      <alignment horizontal="right" vertical="center"/>
    </xf>
    <xf numFmtId="164" fontId="11" fillId="7" borderId="1" applyAlignment="1" pivotButton="0" quotePrefix="0" xfId="1">
      <alignment horizontal="center" vertical="center"/>
    </xf>
    <xf numFmtId="164" fontId="8" fillId="4" borderId="0" applyAlignment="1" pivotButton="0" quotePrefix="0" xfId="1">
      <alignment horizontal="center" vertical="center"/>
    </xf>
    <xf numFmtId="165" fontId="8" fillId="0" borderId="0" applyAlignment="1" pivotButton="0" quotePrefix="0" xfId="1">
      <alignment horizontal="center" vertical="center"/>
    </xf>
    <xf numFmtId="164" fontId="5" fillId="2" borderId="1" applyAlignment="1" pivotButton="0" quotePrefix="0" xfId="1">
      <alignment horizontal="right" vertical="center"/>
    </xf>
    <xf numFmtId="164" fontId="5" fillId="2" borderId="1" applyAlignment="1" pivotButton="0" quotePrefix="0" xfId="1">
      <alignment horizontal="center" vertical="center"/>
    </xf>
    <xf numFmtId="164" fontId="11" fillId="3" borderId="1" applyAlignment="1" pivotButton="0" quotePrefix="0" xfId="1">
      <alignment horizontal="right" vertical="center"/>
    </xf>
    <xf numFmtId="164" fontId="4" fillId="2" borderId="1" applyAlignment="1" pivotButton="0" quotePrefix="0" xfId="1">
      <alignment horizontal="center" vertical="center"/>
    </xf>
    <xf numFmtId="165" fontId="8" fillId="0" borderId="3" applyAlignment="1" pivotButton="0" quotePrefix="0" xfId="1">
      <alignment horizontal="center" vertical="center"/>
    </xf>
    <xf numFmtId="165" fontId="19" fillId="17" borderId="0" applyAlignment="1" pivotButton="0" quotePrefix="0" xfId="4">
      <alignment horizontal="center" vertical="center"/>
    </xf>
    <xf numFmtId="164" fontId="11" fillId="10" borderId="1" applyAlignment="1" pivotButton="0" quotePrefix="0" xfId="1">
      <alignment horizontal="right" vertical="center"/>
    </xf>
    <xf numFmtId="164" fontId="11" fillId="10" borderId="1" applyAlignment="1" pivotButton="0" quotePrefix="0" xfId="1">
      <alignment horizontal="center" vertical="center"/>
    </xf>
    <xf numFmtId="173" fontId="12" fillId="6" borderId="0" applyAlignment="1" pivotButton="0" quotePrefix="0" xfId="3">
      <alignment horizontal="center" vertical="center"/>
    </xf>
    <xf numFmtId="164" fontId="6" fillId="0" borderId="0" applyAlignment="1" pivotButton="0" quotePrefix="0" xfId="1">
      <alignment horizontal="center" vertical="center"/>
    </xf>
    <xf numFmtId="173" fontId="9" fillId="0" borderId="0" applyAlignment="1" pivotButton="0" quotePrefix="0" xfId="3">
      <alignment horizontal="center" vertical="center"/>
    </xf>
    <xf numFmtId="0" fontId="22" fillId="0" borderId="0" applyAlignment="1" pivotButton="0" quotePrefix="0" xfId="0">
      <alignment horizontal="right"/>
    </xf>
    <xf numFmtId="164" fontId="11" fillId="3" borderId="3" applyAlignment="1" pivotButton="0" quotePrefix="0" xfId="1">
      <alignment horizontal="right" vertical="center"/>
    </xf>
    <xf numFmtId="164" fontId="11" fillId="3" borderId="3" applyAlignment="1" pivotButton="0" quotePrefix="0" xfId="1">
      <alignment horizontal="center" vertical="center"/>
    </xf>
    <xf numFmtId="0" fontId="23" fillId="0" borderId="0" applyAlignment="1" pivotButton="0" quotePrefix="0" xfId="0">
      <alignment horizontal="right"/>
    </xf>
    <xf numFmtId="164" fontId="24" fillId="20" borderId="10" applyAlignment="1" pivotButton="0" quotePrefix="0" xfId="0">
      <alignment horizontal="center" vertical="center"/>
    </xf>
    <xf numFmtId="176" fontId="24" fillId="20" borderId="10" applyAlignment="1" pivotButton="0" quotePrefix="0" xfId="0">
      <alignment horizontal="center" vertical="center"/>
    </xf>
    <xf numFmtId="164" fontId="5" fillId="0" borderId="3" applyAlignment="1" pivotButton="0" quotePrefix="0" xfId="1">
      <alignment horizontal="right" vertical="center"/>
    </xf>
    <xf numFmtId="164" fontId="6" fillId="0" borderId="3" applyAlignment="1" pivotButton="0" quotePrefix="0" xfId="1">
      <alignment horizontal="center" vertical="center"/>
    </xf>
    <xf numFmtId="10" fontId="24" fillId="20" borderId="10" applyAlignment="1" pivotButton="0" quotePrefix="0" xfId="0">
      <alignment horizontal="center" vertical="center"/>
    </xf>
    <xf numFmtId="170" fontId="4" fillId="0" borderId="0" applyAlignment="1" pivotButton="0" quotePrefix="0" xfId="1">
      <alignment horizontal="center" vertical="center"/>
    </xf>
    <xf numFmtId="1" fontId="24" fillId="20" borderId="10" applyAlignment="1" pivotButton="0" quotePrefix="0" xfId="0">
      <alignment horizontal="center" vertical="center"/>
    </xf>
    <xf numFmtId="170" fontId="8" fillId="0" borderId="2" applyAlignment="1" pivotButton="0" quotePrefix="0" xfId="1">
      <alignment horizontal="center" vertical="center"/>
    </xf>
    <xf numFmtId="1" fontId="23" fillId="0" borderId="0" applyAlignment="1" pivotButton="0" quotePrefix="0" xfId="0">
      <alignment horizontal="center" vertical="center"/>
    </xf>
    <xf numFmtId="164" fontId="11" fillId="3" borderId="5" applyAlignment="1" pivotButton="0" quotePrefix="0" xfId="1">
      <alignment horizontal="center" vertical="center"/>
    </xf>
    <xf numFmtId="0" fontId="11" fillId="3" borderId="0" applyAlignment="1" pivotButton="0" quotePrefix="0" xfId="0">
      <alignment horizontal="center" vertical="center"/>
    </xf>
    <xf numFmtId="164" fontId="9" fillId="0" borderId="6" applyAlignment="1" pivotButton="0" quotePrefix="0" xfId="1">
      <alignment horizontal="center" vertical="center"/>
    </xf>
    <xf numFmtId="177" fontId="24" fillId="20" borderId="10" applyAlignment="1" pivotButton="0" quotePrefix="0" xfId="0">
      <alignment horizontal="center" vertical="center"/>
    </xf>
    <xf numFmtId="177" fontId="23" fillId="0" borderId="0" applyAlignment="1" pivotButton="0" quotePrefix="0" xfId="0">
      <alignment horizontal="center" vertical="center"/>
    </xf>
    <xf numFmtId="164" fontId="5" fillId="0" borderId="5" applyAlignment="1" pivotButton="0" quotePrefix="0" xfId="1">
      <alignment horizontal="center" vertical="center"/>
    </xf>
    <xf numFmtId="164" fontId="5" fillId="0" borderId="3" applyAlignment="1" pivotButton="0" quotePrefix="0" xfId="1">
      <alignment horizontal="center" vertical="center"/>
    </xf>
    <xf numFmtId="173" fontId="5" fillId="0" borderId="3" applyAlignment="1" pivotButton="0" quotePrefix="0" xfId="3">
      <alignment horizontal="center" vertical="center"/>
    </xf>
    <xf numFmtId="164" fontId="5" fillId="0" borderId="2" applyAlignment="1" pivotButton="0" quotePrefix="0" xfId="1">
      <alignment horizontal="right" vertical="center"/>
    </xf>
    <xf numFmtId="164" fontId="5" fillId="0" borderId="7" applyAlignment="1" pivotButton="0" quotePrefix="0" xfId="1">
      <alignment horizontal="center" vertical="center"/>
    </xf>
    <xf numFmtId="164" fontId="5" fillId="0" borderId="2" applyAlignment="1" pivotButton="0" quotePrefix="0" xfId="1">
      <alignment horizontal="center" vertical="center"/>
    </xf>
    <xf numFmtId="164" fontId="22" fillId="0" borderId="0" applyAlignment="1" pivotButton="0" quotePrefix="0" xfId="1">
      <alignment horizontal="right"/>
    </xf>
    <xf numFmtId="177" fontId="22" fillId="0" borderId="0" applyAlignment="1" pivotButton="0" quotePrefix="0" xfId="1">
      <alignment horizontal="center" vertical="center"/>
    </xf>
    <xf numFmtId="170" fontId="9" fillId="0" borderId="6" applyAlignment="1" pivotButton="0" quotePrefix="0" xfId="1">
      <alignment horizontal="center" vertical="center"/>
    </xf>
    <xf numFmtId="164" fontId="23" fillId="0" borderId="0" applyAlignment="1" pivotButton="0" quotePrefix="0" xfId="1">
      <alignment horizontal="right"/>
    </xf>
    <xf numFmtId="1" fontId="23" fillId="0" borderId="0" applyAlignment="1" pivotButton="0" quotePrefix="0" xfId="1">
      <alignment horizontal="center" vertical="center"/>
    </xf>
    <xf numFmtId="165" fontId="8" fillId="0" borderId="2" applyAlignment="1" pivotButton="0" quotePrefix="0" xfId="1">
      <alignment horizontal="center" vertical="center"/>
    </xf>
    <xf numFmtId="164" fontId="23" fillId="0" borderId="0" applyAlignment="1" pivotButton="0" quotePrefix="0" xfId="1">
      <alignment horizontal="center" vertical="center"/>
    </xf>
    <xf numFmtId="164" fontId="23" fillId="0" borderId="0" applyAlignment="1" pivotButton="0" quotePrefix="0" xfId="0">
      <alignment horizontal="center" vertical="center"/>
    </xf>
    <xf numFmtId="164" fontId="23" fillId="0" borderId="0" applyAlignment="1" pivotButton="0" quotePrefix="0" xfId="3">
      <alignment horizontal="center" vertical="center"/>
    </xf>
    <xf numFmtId="164" fontId="11" fillId="3" borderId="1" applyAlignment="1" pivotButton="0" quotePrefix="0" xfId="1">
      <alignment horizontal="center" vertical="center"/>
    </xf>
    <xf numFmtId="164" fontId="11" fillId="3" borderId="3" applyAlignment="1" pivotButton="0" quotePrefix="0" xfId="3">
      <alignment horizontal="center" vertical="center"/>
    </xf>
    <xf numFmtId="164" fontId="4" fillId="14" borderId="1" applyAlignment="1" pivotButton="0" quotePrefix="0" xfId="1">
      <alignment horizontal="right" vertical="center"/>
    </xf>
    <xf numFmtId="164" fontId="4" fillId="14" borderId="4" applyAlignment="1" pivotButton="0" quotePrefix="0" xfId="1">
      <alignment horizontal="center" vertical="center"/>
    </xf>
    <xf numFmtId="164" fontId="4" fillId="14" borderId="1" applyAlignment="1" pivotButton="0" quotePrefix="0" xfId="1">
      <alignment horizontal="center" vertical="center"/>
    </xf>
    <xf numFmtId="173" fontId="4" fillId="14" borderId="1" applyAlignment="1" pivotButton="0" quotePrefix="0" xfId="3">
      <alignment horizontal="center" vertical="center"/>
    </xf>
    <xf numFmtId="164" fontId="6" fillId="0" borderId="3" applyAlignment="1" pivotButton="0" quotePrefix="0" xfId="1">
      <alignment horizontal="right" vertical="center"/>
    </xf>
    <xf numFmtId="165" fontId="9" fillId="0" borderId="5" applyAlignment="1" pivotButton="0" quotePrefix="0" xfId="1">
      <alignment horizontal="center" vertical="center"/>
    </xf>
    <xf numFmtId="165" fontId="7" fillId="8" borderId="3" applyAlignment="1" pivotButton="0" quotePrefix="0" xfId="0">
      <alignment horizontal="center" vertical="center"/>
    </xf>
    <xf numFmtId="173" fontId="8" fillId="0" borderId="3" applyAlignment="1" pivotButton="0" quotePrefix="0" xfId="3">
      <alignment horizontal="center" vertical="center"/>
    </xf>
    <xf numFmtId="164" fontId="6" fillId="0" borderId="0" applyAlignment="1" pivotButton="0" quotePrefix="0" xfId="1">
      <alignment horizontal="right" vertical="center"/>
    </xf>
    <xf numFmtId="164" fontId="6" fillId="4" borderId="6" applyAlignment="1" pivotButton="0" quotePrefix="0" xfId="1">
      <alignment horizontal="center" vertical="center"/>
    </xf>
    <xf numFmtId="165" fontId="7" fillId="8" borderId="0" applyAlignment="1" pivotButton="0" quotePrefix="0" xfId="0">
      <alignment horizontal="center" vertical="center"/>
    </xf>
    <xf numFmtId="164" fontId="6" fillId="0" borderId="6" applyAlignment="1" pivotButton="0" quotePrefix="0" xfId="1">
      <alignment horizontal="center" vertical="center"/>
    </xf>
    <xf numFmtId="173" fontId="7" fillId="0" borderId="0" applyAlignment="1" pivotButton="0" quotePrefix="0" xfId="3">
      <alignment horizontal="center" vertical="center"/>
    </xf>
    <xf numFmtId="173" fontId="14" fillId="0" borderId="0" applyAlignment="1" pivotButton="0" quotePrefix="0" xfId="3">
      <alignment horizontal="center" vertical="center"/>
    </xf>
    <xf numFmtId="164" fontId="4" fillId="2" borderId="1" applyAlignment="1" pivotButton="0" quotePrefix="0" xfId="1">
      <alignment horizontal="right" vertical="center"/>
    </xf>
    <xf numFmtId="164" fontId="4" fillId="2" borderId="4" applyAlignment="1" pivotButton="0" quotePrefix="0" xfId="1">
      <alignment horizontal="center" vertical="center"/>
    </xf>
    <xf numFmtId="165" fontId="10" fillId="12" borderId="1" applyAlignment="1" pivotButton="0" quotePrefix="0" xfId="0">
      <alignment horizontal="center" vertical="center"/>
    </xf>
    <xf numFmtId="173" fontId="4" fillId="2" borderId="1" applyAlignment="1" pivotButton="0" quotePrefix="0" xfId="3">
      <alignment horizontal="center" vertical="center"/>
    </xf>
    <xf numFmtId="164" fontId="4" fillId="15" borderId="1" applyAlignment="1" pivotButton="0" quotePrefix="0" xfId="1">
      <alignment horizontal="right" vertical="center"/>
    </xf>
    <xf numFmtId="164" fontId="4" fillId="15" borderId="4" applyAlignment="1" pivotButton="0" quotePrefix="0" xfId="1">
      <alignment horizontal="center" vertical="center"/>
    </xf>
    <xf numFmtId="164" fontId="4" fillId="15" borderId="1" applyAlignment="1" pivotButton="0" quotePrefix="0" xfId="1">
      <alignment horizontal="center" vertical="center"/>
    </xf>
    <xf numFmtId="173" fontId="4" fillId="15" borderId="1" applyAlignment="1" pivotButton="0" quotePrefix="0" xfId="3">
      <alignment horizontal="center" vertical="center"/>
    </xf>
    <xf numFmtId="164" fontId="6" fillId="0" borderId="1" applyAlignment="1" pivotButton="0" quotePrefix="0" xfId="1">
      <alignment horizontal="right" vertical="center"/>
    </xf>
    <xf numFmtId="164" fontId="5" fillId="0" borderId="4" applyAlignment="1" pivotButton="0" quotePrefix="0" xfId="1">
      <alignment horizontal="center" vertical="center"/>
    </xf>
    <xf numFmtId="165" fontId="9" fillId="8" borderId="1" applyAlignment="1" pivotButton="0" quotePrefix="0" xfId="1">
      <alignment horizontal="center" vertical="center"/>
    </xf>
    <xf numFmtId="165" fontId="8" fillId="0" borderId="1" applyAlignment="1" pivotButton="0" quotePrefix="0" xfId="1">
      <alignment horizontal="center" vertical="center"/>
    </xf>
    <xf numFmtId="166" fontId="6" fillId="0" borderId="0" applyAlignment="1" pivotButton="0" quotePrefix="0" xfId="1">
      <alignment horizontal="right" vertical="center"/>
    </xf>
    <xf numFmtId="164" fontId="6" fillId="8" borderId="0" applyAlignment="1" pivotButton="0" quotePrefix="0" xfId="1">
      <alignment horizontal="center" vertical="center"/>
    </xf>
    <xf numFmtId="173" fontId="6" fillId="0" borderId="0" applyAlignment="1" pivotButton="0" quotePrefix="0" xfId="3">
      <alignment horizontal="center" vertical="center"/>
    </xf>
    <xf numFmtId="173" fontId="6" fillId="8" borderId="0" applyAlignment="1" pivotButton="0" quotePrefix="0" xfId="3">
      <alignment horizontal="center" vertical="center"/>
    </xf>
    <xf numFmtId="164" fontId="11" fillId="16" borderId="1" applyAlignment="1" pivotButton="0" quotePrefix="0" xfId="1">
      <alignment horizontal="right" vertical="center"/>
    </xf>
    <xf numFmtId="164" fontId="11" fillId="16" borderId="4" applyAlignment="1" pivotButton="0" quotePrefix="0" xfId="1">
      <alignment horizontal="center" vertical="center"/>
    </xf>
    <xf numFmtId="164" fontId="11" fillId="16" borderId="1" applyAlignment="1" pivotButton="0" quotePrefix="0" xfId="1">
      <alignment horizontal="center" vertical="center"/>
    </xf>
    <xf numFmtId="173" fontId="11" fillId="16" borderId="1" applyAlignment="1" pivotButton="0" quotePrefix="0" xfId="3">
      <alignment horizontal="center" vertical="center"/>
    </xf>
    <xf numFmtId="164" fontId="11" fillId="7" borderId="4" applyAlignment="1" pivotButton="0" quotePrefix="0" xfId="1">
      <alignment horizontal="center" vertical="center"/>
    </xf>
    <xf numFmtId="164" fontId="18" fillId="2" borderId="1" applyAlignment="1" pivotButton="0" quotePrefix="0" xfId="1">
      <alignment horizontal="right" vertical="center"/>
    </xf>
    <xf numFmtId="164" fontId="17" fillId="2" borderId="1" applyAlignment="1" pivotButton="0" quotePrefix="0" xfId="1">
      <alignment horizontal="right" vertical="center"/>
    </xf>
    <xf numFmtId="164" fontId="17" fillId="2" borderId="4" applyAlignment="1" pivotButton="0" quotePrefix="0" xfId="1">
      <alignment horizontal="center" vertical="center"/>
    </xf>
    <xf numFmtId="164" fontId="17" fillId="2" borderId="1" applyAlignment="1" pivotButton="0" quotePrefix="0" xfId="1">
      <alignment horizontal="center" vertical="center"/>
    </xf>
    <xf numFmtId="165" fontId="6" fillId="0" borderId="6" applyAlignment="1" pivotButton="0" quotePrefix="0" xfId="1">
      <alignment horizontal="center" vertical="center"/>
    </xf>
    <xf numFmtId="164" fontId="5" fillId="2" borderId="3" applyAlignment="1" pivotButton="0" quotePrefix="0" xfId="1">
      <alignment horizontal="right" vertical="center"/>
    </xf>
    <xf numFmtId="164" fontId="5" fillId="2" borderId="5" applyAlignment="1" pivotButton="0" quotePrefix="0" xfId="1">
      <alignment horizontal="center" vertical="center"/>
    </xf>
    <xf numFmtId="164" fontId="5" fillId="2" borderId="3" applyAlignment="1" pivotButton="0" quotePrefix="0" xfId="1">
      <alignment horizontal="center" vertical="center"/>
    </xf>
    <xf numFmtId="164" fontId="16" fillId="0" borderId="0" applyAlignment="1" pivotButton="0" quotePrefix="0" xfId="1">
      <alignment horizontal="right" vertical="center"/>
    </xf>
    <xf numFmtId="164" fontId="16" fillId="0" borderId="1" applyAlignment="1" pivotButton="0" quotePrefix="0" xfId="1">
      <alignment horizontal="right" vertical="center"/>
    </xf>
    <xf numFmtId="164" fontId="16" fillId="0" borderId="3" applyAlignment="1" pivotButton="0" quotePrefix="0" xfId="1">
      <alignment horizontal="right" vertical="center"/>
    </xf>
    <xf numFmtId="164" fontId="16" fillId="0" borderId="5" applyAlignment="1" pivotButton="0" quotePrefix="0" xfId="1">
      <alignment horizontal="center" vertical="center"/>
    </xf>
    <xf numFmtId="164" fontId="16" fillId="0" borderId="3" applyAlignment="1" pivotButton="0" quotePrefix="0" xfId="1">
      <alignment horizontal="center" vertical="center"/>
    </xf>
    <xf numFmtId="164" fontId="15" fillId="4" borderId="6" applyAlignment="1" pivotButton="0" quotePrefix="0" xfId="1">
      <alignment horizontal="center" vertical="center"/>
    </xf>
    <xf numFmtId="164" fontId="1" fillId="0" borderId="0" applyAlignment="1" pivotButton="0" quotePrefix="0" xfId="0">
      <alignment horizontal="right" vertical="center"/>
    </xf>
    <xf numFmtId="164" fontId="8" fillId="0" borderId="6" applyAlignment="1" pivotButton="0" quotePrefix="0" xfId="1">
      <alignment horizontal="center" vertical="center"/>
    </xf>
    <xf numFmtId="164" fontId="9" fillId="4" borderId="0" applyAlignment="1" pivotButton="0" quotePrefix="0" xfId="1">
      <alignment horizontal="center" vertical="center"/>
    </xf>
    <xf numFmtId="170" fontId="8" fillId="4" borderId="6" applyAlignment="1" pivotButton="0" quotePrefix="0" xfId="1">
      <alignment horizontal="center" vertical="center"/>
    </xf>
    <xf numFmtId="164" fontId="5" fillId="2" borderId="4" applyAlignment="1" pivotButton="0" quotePrefix="0" xfId="1">
      <alignment horizontal="center" vertical="center"/>
    </xf>
    <xf numFmtId="164" fontId="11" fillId="5" borderId="1" applyAlignment="1" pivotButton="0" quotePrefix="0" xfId="1">
      <alignment horizontal="right" vertical="center"/>
    </xf>
    <xf numFmtId="164" fontId="11" fillId="5" borderId="1" applyAlignment="1" pivotButton="0" quotePrefix="0" xfId="1">
      <alignment horizontal="center" vertical="center"/>
    </xf>
    <xf numFmtId="164" fontId="11" fillId="5" borderId="4" applyAlignment="1" pivotButton="0" quotePrefix="0" xfId="1">
      <alignment horizontal="center" vertical="center"/>
    </xf>
    <xf numFmtId="164" fontId="5" fillId="9" borderId="1" applyAlignment="1" pivotButton="0" quotePrefix="0" xfId="1">
      <alignment horizontal="right" vertical="center"/>
    </xf>
    <xf numFmtId="172" fontId="4" fillId="9" borderId="4" applyAlignment="1" pivotButton="0" quotePrefix="0" xfId="1">
      <alignment horizontal="center" vertical="center"/>
    </xf>
    <xf numFmtId="164" fontId="9" fillId="2" borderId="1" applyAlignment="1" pivotButton="0" quotePrefix="0" xfId="1">
      <alignment horizontal="right" vertical="center"/>
    </xf>
    <xf numFmtId="166" fontId="6" fillId="4" borderId="6" applyAlignment="1" pivotButton="0" quotePrefix="0" xfId="1">
      <alignment horizontal="center" vertical="center"/>
    </xf>
    <xf numFmtId="171" fontId="9" fillId="0" borderId="0" applyAlignment="1" pivotButton="0" quotePrefix="0" xfId="2">
      <alignment horizontal="center" vertical="center"/>
    </xf>
    <xf numFmtId="170" fontId="4" fillId="9" borderId="4" applyAlignment="1" pivotButton="0" quotePrefix="0" xfId="1">
      <alignment horizontal="center" vertical="center"/>
    </xf>
    <xf numFmtId="173" fontId="14" fillId="19" borderId="9" pivotButton="0" quotePrefix="0" xfId="3"/>
    <xf numFmtId="173" fontId="0" fillId="0" borderId="0" pivotButton="0" quotePrefix="0" xfId="3"/>
    <xf numFmtId="173" fontId="0" fillId="19" borderId="0" pivotButton="0" quotePrefix="0" xfId="3"/>
  </cellXfs>
  <cellStyles count="7">
    <cellStyle name="Normal" xfId="0" builtinId="0"/>
    <cellStyle name="Normal 2" xfId="1"/>
    <cellStyle name="Percent" xfId="2" builtinId="5"/>
    <cellStyle name="Comma" xfId="3" builtinId="3"/>
    <cellStyle name="Bad" xfId="4" builtinId="27"/>
    <cellStyle name="Good" xfId="5" builtinId="26"/>
    <cellStyle name="Total" xfId="6" builtinId="2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theme="0"/>
      </font>
      <fill>
        <patternFill>
          <bgColor rgb="FFC00000"/>
        </patternFill>
      </fill>
    </dxf>
    <dxf>
      <font>
        <b val="1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omments/comment1.xml><?xml version="1.0" encoding="utf-8"?>
<comments xmlns="http://schemas.openxmlformats.org/spreadsheetml/2006/main">
  <authors>
    <author>Claude</author>
  </authors>
  <commentList>
    <comment ref="S55" authorId="0" shapeId="0">
      <text>
        <t>المصدر: جدول سداد التمويل - بنك الرياض، رقم الحساب 2000464699941، منتج TRQC</t>
      </text>
    </comment>
    <comment ref="S58" authorId="0" shapeId="0">
      <text>
        <t>افتراض: السنة 0 في النموذج = 2025 (سنة شراء الأرض ودخول المساهمين). عدّلها لو مختلفة.</t>
      </text>
    </comment>
    <comment ref="E59" authorId="0" shapeId="0">
      <text>
        <t>تُطبّق فقط على الجزء غير المسحوب بعد (الشريحة الثانية). الشريحة الأولى محسوبة فعليًا من الجدول في R61:W66.</t>
      </text>
    </comment>
    <comment ref="E113" authorId="0" shapeId="0">
      <text>
        <t>عمولة الوكالة حسب المادة 7 من اتفاقية التمويل: بين 0.02% و 0.05%. تم وضع الحد الأعلى 0.05%.</t>
      </text>
    </comment>
  </commentList>
</comments>
</file>

<file path=xl/theme/theme1.xml><?xml version="1.0" encoding="utf-8"?>
<a:theme xmlns:a="http://schemas.openxmlformats.org/drawingml/2006/main" name="Office Theme">
  <a:themeElements>
    <a:clrScheme name="تسوي 2">
      <a:dk1>
        <a:srgbClr val="171616"/>
      </a:dk1>
      <a:lt1>
        <a:sysClr val="window" lastClr="FFFFFF"/>
      </a:lt1>
      <a:dk2>
        <a:srgbClr val="B7975C"/>
      </a:dk2>
      <a:lt2>
        <a:srgbClr val="E7E6E6"/>
      </a:lt2>
      <a:accent1>
        <a:srgbClr val="1F5430"/>
      </a:accent1>
      <a:accent2>
        <a:srgbClr val="54774E"/>
      </a:accent2>
      <a:accent3>
        <a:srgbClr val="88996B"/>
      </a:accent3>
      <a:accent4>
        <a:srgbClr val="B7975C"/>
      </a:accent4>
      <a:accent5>
        <a:srgbClr val="D4BA81"/>
      </a:accent5>
      <a:accent6>
        <a:srgbClr val="E7DFC6"/>
      </a:accent6>
      <a:hlink>
        <a:srgbClr val="0563C1"/>
      </a:hlink>
      <a:folHlink>
        <a:srgbClr val="954F72"/>
      </a:folHlink>
    </a:clrScheme>
    <a:fontScheme name="الخط الاساسي">
      <a:majorFont>
        <a:latin typeface="Calibri"/>
        <a:ea typeface=""/>
        <a:cs typeface="Calibri"/>
      </a:majorFont>
      <a:minorFont>
        <a:latin typeface="Calibri"/>
        <a:ea typeface="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sheet1.xml><?xml version="1.0" encoding="utf-8"?>
<worksheet xmlns="http://schemas.openxmlformats.org/spreadsheetml/2006/main">
  <sheetPr codeName="Sheet25">
    <outlinePr summaryBelow="1" summaryRight="1"/>
    <pageSetUpPr/>
  </sheetPr>
  <dimension ref="A1:AA125"/>
  <sheetViews>
    <sheetView showGridLines="0" rightToLeft="1" tabSelected="1" topLeftCell="A18" zoomScale="115" zoomScaleNormal="115" workbookViewId="0">
      <selection activeCell="H66" sqref="H66"/>
    </sheetView>
  </sheetViews>
  <sheetFormatPr baseColWidth="8" defaultColWidth="0" defaultRowHeight="14.4" customHeight="1"/>
  <cols>
    <col width="3.44140625" customWidth="1" style="149" min="1" max="3"/>
    <col width="43.6640625" customWidth="1" style="150" min="4" max="4"/>
    <col width="14.88671875" customWidth="1" style="151" min="5" max="5"/>
    <col width="16.109375" bestFit="1" customWidth="1" style="151" min="6" max="6"/>
    <col width="14.88671875" customWidth="1" style="151" min="7" max="9"/>
    <col width="23.33203125" bestFit="1" customWidth="1" style="151" min="10" max="11"/>
    <col width="14.88671875" customWidth="1" style="151" min="12" max="21"/>
    <col width="30" customWidth="1" min="18" max="18"/>
    <col width="14" customWidth="1" min="19" max="19"/>
    <col width="12" customWidth="1" min="20" max="20"/>
    <col width="16" customWidth="1" min="21" max="21"/>
    <col width="16" customWidth="1" style="151" min="22" max="27"/>
    <col width="16" customWidth="1" min="23" max="23"/>
    <col hidden="1" style="151" min="28" max="52"/>
    <col hidden="1" width="8.88671875" customWidth="1" style="151" min="53" max="16384"/>
  </cols>
  <sheetData>
    <row r="1" ht="14.4" customFormat="1" customHeight="1" s="152">
      <c r="A1" s="153" t="inlineStr">
        <is>
          <t xml:space="preserve">القادسية تون هاوس </t>
        </is>
      </c>
      <c r="B1" s="153" t="n"/>
      <c r="C1" s="153" t="n"/>
      <c r="D1" s="154" t="n"/>
    </row>
    <row r="2" ht="14.4" customFormat="1" customHeight="1" s="152">
      <c r="A2" s="153" t="inlineStr">
        <is>
          <t>نموذج الشقق السكنية</t>
        </is>
      </c>
      <c r="B2" s="153" t="n"/>
      <c r="C2" s="153" t="n"/>
      <c r="D2" s="154" t="n"/>
    </row>
    <row r="3" ht="14.4" customFormat="1" customHeight="1" s="152">
      <c r="A3" s="153" t="n"/>
      <c r="B3" s="153" t="n"/>
      <c r="C3" s="153" t="n"/>
      <c r="D3" s="154" t="n"/>
    </row>
    <row r="4" ht="14.4" customFormat="1" customHeight="1" s="155">
      <c r="A4" s="156" t="inlineStr">
        <is>
          <t>أولا | وصف المشروع</t>
        </is>
      </c>
      <c r="B4" s="156" t="n"/>
      <c r="C4" s="156" t="n"/>
      <c r="D4" s="157" t="n"/>
    </row>
    <row r="6" ht="14.4" customHeight="1">
      <c r="C6" s="149" t="inlineStr">
        <is>
          <t>تقسيم الأرض</t>
        </is>
      </c>
    </row>
    <row r="7" ht="14.4" customHeight="1">
      <c r="D7" s="158" t="inlineStr">
        <is>
          <t>بيان</t>
        </is>
      </c>
      <c r="E7" s="158" t="inlineStr">
        <is>
          <t>%</t>
        </is>
      </c>
      <c r="F7" s="158" t="inlineStr">
        <is>
          <t>قيمة</t>
        </is>
      </c>
    </row>
    <row r="8" ht="14.4" customHeight="1">
      <c r="D8" s="159" t="inlineStr">
        <is>
          <t>مساحة أرض المشروع</t>
        </is>
      </c>
      <c r="E8" s="160" t="n"/>
      <c r="F8" s="161" t="n">
        <v>3000</v>
      </c>
    </row>
    <row r="10" ht="14.4" customHeight="1">
      <c r="D10" s="162" t="inlineStr">
        <is>
          <t>البند</t>
        </is>
      </c>
      <c r="E10" s="163" t="inlineStr">
        <is>
          <t xml:space="preserve">السكني شقق </t>
        </is>
      </c>
    </row>
    <row r="11" ht="14.4" customHeight="1">
      <c r="D11" s="164" t="inlineStr">
        <is>
          <t>مساحة الأرض المخصصة</t>
        </is>
      </c>
      <c r="E11" s="165">
        <f>F8</f>
        <v/>
      </c>
    </row>
    <row r="12" ht="14.4" customHeight="1">
      <c r="D12" s="166" t="inlineStr">
        <is>
          <t>نسبة البناء على الأرض</t>
        </is>
      </c>
      <c r="E12" s="167" t="n">
        <v>0.5</v>
      </c>
    </row>
    <row r="13" ht="14.4" customHeight="1">
      <c r="D13" s="166" t="inlineStr">
        <is>
          <t>المساحة المبنى عليها</t>
        </is>
      </c>
      <c r="E13" s="168">
        <f>E11*E12</f>
        <v/>
      </c>
    </row>
    <row r="14" ht="14.4" customHeight="1">
      <c r="D14" s="150" t="inlineStr">
        <is>
          <t>معامل البناء</t>
        </is>
      </c>
      <c r="E14" s="169" t="n">
        <v>2.37166666666667</v>
      </c>
    </row>
    <row r="15" ht="14.4" customHeight="1">
      <c r="D15" s="164" t="inlineStr">
        <is>
          <t>المسطحات البنائية م2</t>
        </is>
      </c>
      <c r="E15" s="170">
        <f>E11*E14</f>
        <v/>
      </c>
    </row>
    <row r="16" ht="14.4" customHeight="1">
      <c r="D16" s="171" t="inlineStr">
        <is>
          <t>عدد الأدوار</t>
        </is>
      </c>
      <c r="E16" s="172">
        <f>IFERROR(E15/E13,0)</f>
        <v/>
      </c>
    </row>
    <row r="17" ht="14.4" customHeight="1">
      <c r="D17" s="171" t="inlineStr">
        <is>
          <t>نسبة المساحة الصافية</t>
        </is>
      </c>
      <c r="E17" s="173" t="n">
        <v>0.9230302178496121</v>
      </c>
      <c r="F17" s="167" t="n"/>
    </row>
    <row r="18" ht="14.4" customHeight="1">
      <c r="D18" s="164" t="inlineStr">
        <is>
          <t>المساحات الصافية م2</t>
        </is>
      </c>
      <c r="E18" s="170">
        <f>E15*E17</f>
        <v/>
      </c>
      <c r="G18" s="131" t="n"/>
    </row>
    <row r="19" ht="14.4" customHeight="1">
      <c r="D19" s="171" t="inlineStr">
        <is>
          <t>متوسط مساحة الوحدة (مسطحات مباني)</t>
        </is>
      </c>
      <c r="E19" s="174" t="n">
        <v>273.64</v>
      </c>
    </row>
    <row r="20" ht="14.4" customHeight="1">
      <c r="D20" s="171" t="inlineStr">
        <is>
          <t>عدد الوحدات / م2</t>
        </is>
      </c>
      <c r="E20" s="168">
        <f>IFERROR(E18/E19,0)</f>
        <v/>
      </c>
    </row>
    <row r="21" ht="14.4" customHeight="1">
      <c r="D21" s="171" t="inlineStr">
        <is>
          <t>متطلبات الموقف</t>
        </is>
      </c>
      <c r="E21" s="175" t="n">
        <v>1</v>
      </c>
    </row>
    <row r="22" ht="14.4" customHeight="1">
      <c r="D22" s="176" t="inlineStr">
        <is>
          <t>عدد المواقف المطلوبة</t>
        </is>
      </c>
      <c r="E22" s="177" t="n">
        <v>121</v>
      </c>
    </row>
    <row r="23" ht="14.4" customHeight="1">
      <c r="D23" s="166" t="inlineStr">
        <is>
          <t>الموقع العام</t>
        </is>
      </c>
      <c r="E23" s="168" t="n"/>
    </row>
    <row r="24" ht="14.4" customHeight="1">
      <c r="D24" s="166" t="inlineStr">
        <is>
          <t>نسبة المخصص مواقف</t>
        </is>
      </c>
      <c r="E24" s="173" t="n">
        <v>0.4</v>
      </c>
      <c r="F24" s="167" t="n"/>
    </row>
    <row r="25" ht="14.4" customHeight="1">
      <c r="D25" s="178" t="inlineStr">
        <is>
          <t>مساحة المواقف السطحية - أرضي</t>
        </is>
      </c>
      <c r="E25" s="179">
        <f>E23*E24</f>
        <v/>
      </c>
    </row>
    <row r="26" ht="14.4" customHeight="1">
      <c r="D26" s="166" t="inlineStr">
        <is>
          <t>متوسط مساحة الموقف - مبنى المواقف طوابق</t>
        </is>
      </c>
      <c r="E26" s="180" t="n">
        <v>25</v>
      </c>
    </row>
    <row r="27" ht="14.4" customHeight="1">
      <c r="D27" s="176" t="inlineStr">
        <is>
          <t>عدد  المواقف السطحية</t>
        </is>
      </c>
      <c r="E27" s="177">
        <f>E25/E26</f>
        <v/>
      </c>
    </row>
    <row r="28" ht="14.4" customHeight="1">
      <c r="D28" s="164" t="inlineStr">
        <is>
          <t>عدد المواقف بالقبو لمكونات المشروع</t>
        </is>
      </c>
      <c r="E28" s="170">
        <f>IF(E27&gt;E22,0,E22-E27)</f>
        <v/>
      </c>
    </row>
    <row r="29" ht="14.4" customHeight="1">
      <c r="D29" s="171" t="inlineStr">
        <is>
          <t>متوسط مساحة الموقف</t>
        </is>
      </c>
      <c r="E29" s="181" t="n">
        <v>25</v>
      </c>
      <c r="F29" s="182" t="n"/>
    </row>
    <row r="30" ht="14.4" customHeight="1">
      <c r="D30" s="176" t="inlineStr">
        <is>
          <t>مساحة القبو م2 - مواقف</t>
        </is>
      </c>
      <c r="E30" s="177">
        <f>E28*E29</f>
        <v/>
      </c>
    </row>
    <row r="31" ht="14.4" customHeight="1">
      <c r="D31" s="183" t="inlineStr">
        <is>
          <t>عدد أدوار القبو -  المشروع</t>
        </is>
      </c>
      <c r="E31" s="184">
        <f>IFERROR(E30/E11,0)</f>
        <v/>
      </c>
    </row>
    <row r="33" ht="14.4" customHeight="1">
      <c r="A33" s="156" t="inlineStr">
        <is>
          <t>ثانيا | تكاليف المشروع</t>
        </is>
      </c>
      <c r="B33" s="156" t="n"/>
      <c r="C33" s="156" t="n"/>
      <c r="D33" s="157" t="n"/>
      <c r="E33" s="155" t="n"/>
      <c r="F33" s="155" t="n"/>
      <c r="G33" s="155" t="n"/>
      <c r="H33" s="155" t="n"/>
      <c r="I33" s="155" t="n"/>
      <c r="J33" s="155" t="n"/>
      <c r="K33" s="155" t="n"/>
      <c r="L33" s="155" t="n"/>
      <c r="M33" s="155" t="n"/>
      <c r="N33" s="155" t="n"/>
      <c r="O33" s="155" t="n"/>
      <c r="P33" s="155" t="n"/>
      <c r="Q33" s="155" t="n"/>
      <c r="R33" s="155" t="n"/>
      <c r="S33" s="155" t="n"/>
      <c r="T33" s="155" t="n"/>
      <c r="U33" s="155" t="n"/>
      <c r="V33" s="155" t="n"/>
      <c r="W33" s="155" t="n"/>
      <c r="X33" s="155" t="n"/>
      <c r="Y33" s="155" t="n"/>
      <c r="Z33" s="155" t="n"/>
      <c r="AA33" s="155" t="n"/>
    </row>
    <row r="34" ht="14.4" customHeight="1">
      <c r="D34" s="151" t="n"/>
    </row>
    <row r="35" ht="14.4" customHeight="1">
      <c r="C35" s="185" t="inlineStr">
        <is>
          <t>تكلفة الأرض</t>
        </is>
      </c>
      <c r="D35" s="185" t="n"/>
      <c r="E35" s="186" t="inlineStr">
        <is>
          <t>أ</t>
        </is>
      </c>
      <c r="F35" s="186" t="inlineStr">
        <is>
          <t>ب</t>
        </is>
      </c>
      <c r="G35" s="186" t="inlineStr">
        <is>
          <t>أ x ب</t>
        </is>
      </c>
    </row>
    <row r="36" ht="14.4" customHeight="1">
      <c r="D36" s="150" t="inlineStr">
        <is>
          <t>شراء الأرض</t>
        </is>
      </c>
      <c r="E36" s="151">
        <f>F8</f>
        <v/>
      </c>
      <c r="F36" s="187" t="n">
        <v>3200</v>
      </c>
      <c r="G36" s="151">
        <f>F36*E36</f>
        <v/>
      </c>
    </row>
    <row r="37" ht="14.4" customHeight="1">
      <c r="D37" s="150" t="inlineStr">
        <is>
          <t>السعي والضريبة - لنسبة المساهمة للمساهم</t>
        </is>
      </c>
      <c r="E37" s="151">
        <f>G36</f>
        <v/>
      </c>
      <c r="F37" s="188" t="n">
        <v>0.075</v>
      </c>
      <c r="G37" s="151">
        <f>F37*E37</f>
        <v/>
      </c>
    </row>
    <row r="38" ht="14.4" customHeight="1">
      <c r="C38" s="189" t="n"/>
      <c r="D38" s="189" t="inlineStr">
        <is>
          <t>تكلفة شراء الأرض</t>
        </is>
      </c>
      <c r="E38" s="190">
        <f>E36</f>
        <v/>
      </c>
      <c r="F38" s="190">
        <f>G38/E38</f>
        <v/>
      </c>
      <c r="G38" s="190">
        <f>SUM(G36:G37)</f>
        <v/>
      </c>
    </row>
    <row r="40" ht="14.4" customHeight="1">
      <c r="C40" s="191" t="inlineStr">
        <is>
          <t>تكاليف البناء</t>
        </is>
      </c>
      <c r="D40" s="185" t="n"/>
      <c r="E40" s="185" t="inlineStr">
        <is>
          <t>أ</t>
        </is>
      </c>
      <c r="F40" s="186" t="inlineStr">
        <is>
          <t>ب</t>
        </is>
      </c>
      <c r="G40" s="186" t="inlineStr">
        <is>
          <t>أ x ب</t>
        </is>
      </c>
    </row>
    <row r="41" ht="14.4" customHeight="1">
      <c r="D41" s="150" t="inlineStr">
        <is>
          <t>تاون هاوس</t>
        </is>
      </c>
      <c r="E41" s="151">
        <f>E15</f>
        <v/>
      </c>
      <c r="F41" s="182" t="n">
        <v>1500</v>
      </c>
      <c r="G41" s="151">
        <f>F41*E41</f>
        <v/>
      </c>
    </row>
    <row r="42" ht="14.4" customHeight="1">
      <c r="D42" s="150" t="inlineStr">
        <is>
          <t xml:space="preserve">القبو </t>
        </is>
      </c>
      <c r="E42" s="151">
        <f>E30</f>
        <v/>
      </c>
      <c r="F42" s="182" t="n">
        <v>600</v>
      </c>
      <c r="G42" s="151">
        <f>F42*E42</f>
        <v/>
      </c>
    </row>
    <row r="43" ht="14.4" customHeight="1">
      <c r="D43" s="150" t="inlineStr">
        <is>
          <t>الموقع العام</t>
        </is>
      </c>
      <c r="E43" s="151">
        <f>E23</f>
        <v/>
      </c>
      <c r="F43" s="182" t="n">
        <v>0</v>
      </c>
      <c r="G43" s="151">
        <f>F43*E43</f>
        <v/>
      </c>
    </row>
    <row r="44" ht="14.4" customHeight="1">
      <c r="C44" s="189" t="n"/>
      <c r="D44" s="189" t="inlineStr">
        <is>
          <t>التكاليف المباشرة</t>
        </is>
      </c>
      <c r="E44" s="190">
        <f>SUM(E41:E42)</f>
        <v/>
      </c>
      <c r="F44" s="192" t="n"/>
      <c r="G44" s="190">
        <f>SUM(G41:G43)</f>
        <v/>
      </c>
    </row>
    <row r="45">
      <c r="C45" s="185" t="inlineStr">
        <is>
          <t>التكاليف الغير مباشرة</t>
        </is>
      </c>
      <c r="D45" s="185" t="n"/>
      <c r="E45" s="186" t="n"/>
      <c r="F45" s="186" t="n"/>
      <c r="G45" s="186" t="n"/>
    </row>
    <row r="46">
      <c r="D46" s="150" t="inlineStr">
        <is>
          <t>التكاليف الأخرى ( التصاميم ، الاشراف الهندسي ، الرسوم الحكومية، تسويق )</t>
        </is>
      </c>
      <c r="E46" s="151">
        <f>G44</f>
        <v/>
      </c>
      <c r="F46" s="193" t="n">
        <v>0.02</v>
      </c>
      <c r="G46" s="151">
        <f>F46*E46</f>
        <v/>
      </c>
    </row>
    <row r="47" ht="14.4" customHeight="1">
      <c r="D47" s="150" t="inlineStr">
        <is>
          <t>الاحتياطي</t>
        </is>
      </c>
      <c r="E47" s="151">
        <f>E46</f>
        <v/>
      </c>
      <c r="F47" s="188" t="n">
        <v>0</v>
      </c>
      <c r="G47" s="151">
        <f>F47*E47</f>
        <v/>
      </c>
    </row>
    <row r="48" ht="14.4" customHeight="1">
      <c r="D48" s="150" t="inlineStr">
        <is>
          <t>أتعاب المطور</t>
        </is>
      </c>
      <c r="E48" s="151">
        <f>E47</f>
        <v/>
      </c>
      <c r="F48" s="194" t="n">
        <v>0</v>
      </c>
      <c r="G48" s="151">
        <f>F48*E48</f>
        <v/>
      </c>
    </row>
    <row r="49" ht="14.4" customHeight="1">
      <c r="C49" s="189" t="n"/>
      <c r="D49" s="189" t="inlineStr">
        <is>
          <t>اجمالي التكاليف الأخرى</t>
        </is>
      </c>
      <c r="E49" s="190" t="n"/>
      <c r="F49" s="190" t="n"/>
      <c r="G49" s="190">
        <f>SUM(G46:G48)</f>
        <v/>
      </c>
    </row>
    <row r="50" ht="14.4" customHeight="1">
      <c r="C50" s="195" t="n"/>
      <c r="D50" s="195" t="inlineStr">
        <is>
          <t>إجمالي التكاليف</t>
        </is>
      </c>
      <c r="E50" s="196" t="n"/>
      <c r="F50" s="196" t="n"/>
      <c r="G50" s="196">
        <f>SUM(G49,G44,G38)</f>
        <v/>
      </c>
    </row>
    <row r="52">
      <c r="A52" s="156" t="inlineStr">
        <is>
          <t>ثالثا | التمويل البنكي</t>
        </is>
      </c>
      <c r="B52" s="156" t="n"/>
      <c r="C52" s="156" t="n"/>
      <c r="D52" s="157" t="n"/>
      <c r="E52" s="155" t="n"/>
      <c r="F52" s="155" t="n"/>
      <c r="G52" s="155" t="n"/>
      <c r="H52" s="155" t="n"/>
      <c r="I52" s="155" t="n"/>
      <c r="J52" s="155" t="n"/>
      <c r="K52" s="155" t="n"/>
      <c r="L52" s="155" t="n"/>
      <c r="M52" s="197" t="n"/>
      <c r="N52" s="155" t="n"/>
      <c r="O52" s="155" t="n"/>
      <c r="P52" s="155" t="n"/>
      <c r="Q52" s="155" t="n"/>
      <c r="R52" s="155" t="n"/>
      <c r="S52" s="155" t="n"/>
      <c r="T52" s="155" t="n"/>
      <c r="U52" s="155" t="n"/>
      <c r="V52" s="155" t="n"/>
      <c r="W52" s="155" t="n"/>
      <c r="X52" s="155" t="n"/>
      <c r="Y52" s="155" t="n"/>
      <c r="Z52" s="155" t="n"/>
      <c r="AA52" s="155" t="inlineStr">
        <is>
          <t xml:space="preserve"> </t>
        </is>
      </c>
    </row>
    <row r="53">
      <c r="C53" s="149" t="inlineStr">
        <is>
          <t>افتراضات التمويل</t>
        </is>
      </c>
      <c r="G53" s="198" t="n"/>
      <c r="H53" s="198" t="n"/>
      <c r="M53" s="199" t="n"/>
      <c r="R53" s="200" t="inlineStr">
        <is>
          <t>الشريحة الأولى - فعلي (جدول سداد بنك الرياض)</t>
        </is>
      </c>
    </row>
    <row r="54" customFormat="1" s="150">
      <c r="A54" s="149" t="n"/>
      <c r="B54" s="149" t="n"/>
      <c r="C54" s="149" t="n"/>
      <c r="D54" s="201" t="inlineStr">
        <is>
          <t>البند</t>
        </is>
      </c>
      <c r="E54" s="202" t="inlineStr">
        <is>
          <t>القيمة</t>
        </is>
      </c>
      <c r="F54" s="151" t="n"/>
      <c r="G54" s="198" t="n"/>
      <c r="H54" s="198" t="n"/>
      <c r="I54" s="151" t="n"/>
      <c r="J54" s="151" t="n"/>
      <c r="K54" s="151" t="n"/>
      <c r="L54" s="151" t="n"/>
      <c r="M54" s="199" t="n"/>
      <c r="N54" s="151" t="n"/>
      <c r="O54" s="151" t="n"/>
      <c r="P54" s="151" t="n"/>
    </row>
    <row r="55" customFormat="1" s="150">
      <c r="A55" s="149" t="n"/>
      <c r="B55" s="149" t="n"/>
      <c r="C55" s="149" t="n"/>
      <c r="D55" s="150" t="inlineStr">
        <is>
          <t>تكلفة المشروع</t>
        </is>
      </c>
      <c r="E55" s="151">
        <f>G50</f>
        <v/>
      </c>
      <c r="F55" s="151" t="n"/>
      <c r="G55" s="151" t="n"/>
      <c r="H55" s="151" t="n"/>
      <c r="I55" s="151" t="n"/>
      <c r="J55" s="151" t="n"/>
      <c r="K55" s="151" t="n"/>
      <c r="L55" s="151" t="n"/>
      <c r="M55" s="199" t="n"/>
      <c r="N55" s="151" t="n"/>
      <c r="O55" s="151" t="n"/>
      <c r="P55" s="151" t="n"/>
      <c r="R55" s="203" t="inlineStr">
        <is>
          <t>مبلغ الشريحة الأولى</t>
        </is>
      </c>
      <c r="S55" s="204" t="n">
        <v>4350000</v>
      </c>
    </row>
    <row r="56" customFormat="1" s="150">
      <c r="A56" s="149" t="n"/>
      <c r="B56" s="149" t="n"/>
      <c r="C56" s="149" t="n"/>
      <c r="D56" s="150" t="inlineStr">
        <is>
          <t>نسبة التمويل البنكي</t>
        </is>
      </c>
      <c r="E56" s="188" t="n">
        <v>0.3773216667208793</v>
      </c>
      <c r="F56" s="151" t="n"/>
      <c r="G56" s="151" t="n"/>
      <c r="H56" s="151" t="n"/>
      <c r="I56" s="151" t="n"/>
      <c r="J56" s="151" t="n"/>
      <c r="K56" s="151" t="n"/>
      <c r="L56" s="151" t="n"/>
      <c r="M56" s="199" t="n"/>
      <c r="N56" s="151" t="n"/>
      <c r="O56" s="151" t="n"/>
      <c r="P56" s="151" t="n"/>
      <c r="R56" s="203" t="inlineStr">
        <is>
          <t>تاريخ السحب</t>
        </is>
      </c>
      <c r="S56" s="205" t="n">
        <v>46050</v>
      </c>
    </row>
    <row r="57" customFormat="1" s="150">
      <c r="A57" s="149" t="n"/>
      <c r="B57" s="149" t="n"/>
      <c r="C57" s="149" t="n"/>
      <c r="D57" s="206" t="inlineStr">
        <is>
          <t>مبلغ التمويل البنكي</t>
        </is>
      </c>
      <c r="E57" s="207">
        <f>E55*E56</f>
        <v/>
      </c>
      <c r="F57" s="151" t="n"/>
      <c r="G57" s="131" t="n"/>
      <c r="H57" s="151" t="n"/>
      <c r="I57" s="151" t="n"/>
      <c r="J57" s="151" t="n"/>
      <c r="K57" s="151" t="n"/>
      <c r="L57" s="151" t="n"/>
      <c r="M57" s="199" t="n"/>
      <c r="N57" s="151" t="n"/>
      <c r="O57" s="151" t="n"/>
      <c r="P57" s="151" t="n"/>
      <c r="R57" s="203" t="inlineStr">
        <is>
          <t>نسبة الربح السنوية (العقد)</t>
        </is>
      </c>
      <c r="S57" s="208" t="n">
        <v>0.08599999999999999</v>
      </c>
    </row>
    <row r="58" customFormat="1" s="150">
      <c r="A58" s="149" t="n"/>
      <c r="B58" s="149" t="n"/>
      <c r="C58" s="149" t="n"/>
      <c r="D58" s="149" t="inlineStr">
        <is>
          <t>نسبة التمويل الى الارض</t>
        </is>
      </c>
      <c r="E58" s="209">
        <f>E57/G36</f>
        <v/>
      </c>
      <c r="F58" s="151" t="n"/>
      <c r="G58" s="151" t="n"/>
      <c r="H58" s="151" t="n"/>
      <c r="I58" s="151" t="n"/>
      <c r="J58" s="151" t="n"/>
      <c r="K58" s="151" t="n"/>
      <c r="L58" s="151" t="n"/>
      <c r="M58" s="199" t="n"/>
      <c r="N58" s="151" t="n"/>
      <c r="O58" s="151" t="n"/>
      <c r="P58" s="151" t="n"/>
      <c r="R58" s="203" t="inlineStr">
        <is>
          <t>سنة الأساس (السنة 0 في النموذج)</t>
        </is>
      </c>
      <c r="S58" s="210" t="n">
        <v>2025</v>
      </c>
    </row>
    <row r="59" customFormat="1" s="150">
      <c r="A59" s="149" t="n"/>
      <c r="B59" s="149" t="n"/>
      <c r="C59" s="149" t="n"/>
      <c r="D59" s="159" t="inlineStr">
        <is>
          <t>نسبة المرابحة</t>
        </is>
      </c>
      <c r="E59" s="211" t="n">
        <v>0.09</v>
      </c>
      <c r="F59" s="151" t="n"/>
      <c r="G59" s="151" t="n"/>
      <c r="H59" s="151" t="n"/>
      <c r="I59" s="151" t="n"/>
      <c r="J59" s="151" t="n"/>
      <c r="K59" s="151" t="n"/>
      <c r="L59" s="151" t="n"/>
      <c r="M59" s="199" t="n"/>
      <c r="N59" s="151" t="n"/>
      <c r="O59" s="151" t="n"/>
      <c r="P59" s="151" t="n"/>
      <c r="R59" s="203" t="inlineStr">
        <is>
          <t>سنة السحب (مساعد)</t>
        </is>
      </c>
      <c r="S59" s="212">
        <f>YEAR(S56)-$S$58</f>
        <v/>
      </c>
    </row>
    <row r="60" customFormat="1" s="150">
      <c r="A60" s="149" t="n"/>
      <c r="B60" s="149" t="n"/>
      <c r="C60" s="149" t="inlineStr">
        <is>
          <t>حركة التمويل</t>
        </is>
      </c>
      <c r="E60" s="151" t="n"/>
      <c r="F60" s="151" t="n"/>
      <c r="G60" s="151" t="n"/>
      <c r="H60" s="151">
        <f>H66/2</f>
        <v/>
      </c>
      <c r="I60" s="151" t="n"/>
      <c r="J60" s="151" t="n"/>
      <c r="K60" s="151" t="n"/>
      <c r="L60" s="151" t="n"/>
      <c r="M60" s="199" t="n"/>
      <c r="N60" s="151" t="n"/>
      <c r="O60" s="151" t="n"/>
      <c r="P60" s="151" t="n"/>
    </row>
    <row r="61" customFormat="1" s="150">
      <c r="A61" s="149" t="n"/>
      <c r="B61" s="149" t="n"/>
      <c r="C61" s="149" t="n"/>
      <c r="D61" s="201" t="inlineStr">
        <is>
          <t>السنة</t>
        </is>
      </c>
      <c r="E61" s="213" t="inlineStr">
        <is>
          <t>مساعد</t>
        </is>
      </c>
      <c r="F61" s="202" t="n">
        <v>0</v>
      </c>
      <c r="G61" s="202">
        <f>F61+1</f>
        <v/>
      </c>
      <c r="H61" s="202">
        <f>G61+1</f>
        <v/>
      </c>
      <c r="I61" s="202">
        <f>H61+1</f>
        <v/>
      </c>
      <c r="J61" s="202">
        <f>I61+1</f>
        <v/>
      </c>
      <c r="K61" s="202">
        <f>J61+1</f>
        <v/>
      </c>
      <c r="L61" s="202">
        <f>K61+1</f>
        <v/>
      </c>
      <c r="M61" s="202">
        <f>L61+1</f>
        <v/>
      </c>
      <c r="N61" s="202">
        <f>M61+1</f>
        <v/>
      </c>
      <c r="O61" s="202">
        <f>N61+1</f>
        <v/>
      </c>
      <c r="P61" s="202">
        <f>O61+1</f>
        <v/>
      </c>
      <c r="R61" s="214" t="inlineStr">
        <is>
          <t>#</t>
        </is>
      </c>
      <c r="S61" s="214" t="inlineStr">
        <is>
          <t>تاريخ الاستحقاق</t>
        </is>
      </c>
      <c r="T61" s="214" t="inlineStr">
        <is>
          <t>السنة (مساعد)</t>
        </is>
      </c>
      <c r="U61" s="214" t="inlineStr">
        <is>
          <t>القسط من الأصل</t>
        </is>
      </c>
      <c r="V61" s="214" t="inlineStr">
        <is>
          <t>القسط من الربحية</t>
        </is>
      </c>
      <c r="W61" s="214" t="inlineStr">
        <is>
          <t>إجمالي القسط</t>
        </is>
      </c>
    </row>
    <row r="62" customFormat="1" s="150">
      <c r="A62" s="149" t="n"/>
      <c r="B62" s="149" t="n"/>
      <c r="C62" s="149" t="n"/>
      <c r="D62" s="150" t="inlineStr">
        <is>
          <t>اول المدة</t>
        </is>
      </c>
      <c r="E62" s="215" t="n"/>
      <c r="F62" s="182" t="n"/>
      <c r="G62" s="182" t="n">
        <v>0</v>
      </c>
      <c r="H62" s="151">
        <f>G65</f>
        <v/>
      </c>
      <c r="I62" s="151">
        <f>H65</f>
        <v/>
      </c>
      <c r="J62" s="151">
        <f>I65</f>
        <v/>
      </c>
      <c r="K62" s="151">
        <f>J65</f>
        <v/>
      </c>
      <c r="L62" s="151">
        <f>K65</f>
        <v/>
      </c>
      <c r="M62" s="199">
        <f>L65</f>
        <v/>
      </c>
      <c r="N62" s="151">
        <f>M65</f>
        <v/>
      </c>
      <c r="O62" s="151">
        <f>N65</f>
        <v/>
      </c>
      <c r="P62" s="151">
        <f>O65</f>
        <v/>
      </c>
      <c r="R62" s="212" t="n">
        <v>1</v>
      </c>
      <c r="S62" s="205" t="n">
        <v>46230</v>
      </c>
      <c r="T62" s="212">
        <f>YEAR(S62)-$S$58</f>
        <v/>
      </c>
      <c r="U62" s="216" t="n">
        <v>0</v>
      </c>
      <c r="V62" s="216" t="n">
        <v>187050</v>
      </c>
      <c r="W62" s="217">
        <f>U62+V62</f>
        <v/>
      </c>
    </row>
    <row r="63" customFormat="1" s="150">
      <c r="A63" s="149" t="n"/>
      <c r="B63" s="149" t="n"/>
      <c r="C63" s="149" t="n"/>
      <c r="D63" s="150" t="inlineStr">
        <is>
          <t>سحب</t>
        </is>
      </c>
      <c r="E63" s="215" t="n"/>
      <c r="F63" s="151" t="n"/>
      <c r="G63" s="151">
        <f>G67*$E$57</f>
        <v/>
      </c>
      <c r="H63" s="151">
        <f>H67*$E$57</f>
        <v/>
      </c>
      <c r="I63" s="151">
        <f>I67*$E$57</f>
        <v/>
      </c>
      <c r="J63" s="151">
        <f>J67*$E$57</f>
        <v/>
      </c>
      <c r="K63" s="151">
        <f>K67*$E$57</f>
        <v/>
      </c>
      <c r="L63" s="151">
        <f>L67*$E$57</f>
        <v/>
      </c>
      <c r="M63" s="151">
        <f>M67*$E$57</f>
        <v/>
      </c>
      <c r="N63" s="151">
        <f>N67*$E$57</f>
        <v/>
      </c>
      <c r="O63" s="151">
        <f>O67*$E$57</f>
        <v/>
      </c>
      <c r="P63" s="151">
        <f>P67*$E$57</f>
        <v/>
      </c>
      <c r="R63" s="212" t="n">
        <v>2</v>
      </c>
      <c r="S63" s="205" t="n">
        <v>46414</v>
      </c>
      <c r="T63" s="212">
        <f>YEAR(S63)-$S$58</f>
        <v/>
      </c>
      <c r="U63" s="216" t="n">
        <v>0</v>
      </c>
      <c r="V63" s="216" t="n">
        <v>191206.67</v>
      </c>
      <c r="W63" s="217">
        <f>U63+V63</f>
        <v/>
      </c>
    </row>
    <row r="64" customFormat="1" s="150">
      <c r="A64" s="149" t="n"/>
      <c r="B64" s="149" t="n"/>
      <c r="C64" s="149" t="n"/>
      <c r="D64" s="150" t="inlineStr">
        <is>
          <t>سداد</t>
        </is>
      </c>
      <c r="E64" s="215" t="n"/>
      <c r="F64" s="151" t="n"/>
      <c r="G64" s="151">
        <f>-G68*$E$57</f>
        <v/>
      </c>
      <c r="H64" s="151">
        <f>-H68*$E$57</f>
        <v/>
      </c>
      <c r="I64" s="151">
        <f>-I68*$E$57</f>
        <v/>
      </c>
      <c r="J64" s="151">
        <f>-J68*$E$57</f>
        <v/>
      </c>
      <c r="K64" s="151">
        <f>-K68*$E$57</f>
        <v/>
      </c>
      <c r="L64" s="151">
        <f>-L68*$E$57</f>
        <v/>
      </c>
      <c r="M64" s="151">
        <f>-M68*$E$57</f>
        <v/>
      </c>
      <c r="N64" s="151">
        <f>-N68*$E$57</f>
        <v/>
      </c>
      <c r="O64" s="151">
        <f>-O68*$E$57</f>
        <v/>
      </c>
      <c r="P64" s="151">
        <f>-P68*$E$57</f>
        <v/>
      </c>
      <c r="R64" s="212" t="n">
        <v>3</v>
      </c>
      <c r="S64" s="205" t="n">
        <v>46595</v>
      </c>
      <c r="T64" s="212">
        <f>YEAR(S64)-$S$58</f>
        <v/>
      </c>
      <c r="U64" s="216" t="n">
        <v>0</v>
      </c>
      <c r="V64" s="216" t="n">
        <v>188089.17</v>
      </c>
      <c r="W64" s="217">
        <f>U64+V64</f>
        <v/>
      </c>
    </row>
    <row r="65" customFormat="1" s="150">
      <c r="A65" s="149" t="n"/>
      <c r="B65" s="149" t="n"/>
      <c r="C65" s="149" t="n"/>
      <c r="D65" s="206" t="inlineStr">
        <is>
          <t>اخر المدة</t>
        </is>
      </c>
      <c r="E65" s="218" t="n"/>
      <c r="F65" s="219">
        <f>SUM(F62:F64)</f>
        <v/>
      </c>
      <c r="G65" s="219">
        <f>SUM(G62:G64)</f>
        <v/>
      </c>
      <c r="H65" s="219">
        <f>SUM(H62:H64)</f>
        <v/>
      </c>
      <c r="I65" s="219">
        <f>SUM(I62:I64)</f>
        <v/>
      </c>
      <c r="J65" s="219">
        <f>SUM(J62:J64)</f>
        <v/>
      </c>
      <c r="K65" s="219">
        <f>SUM(K62:K64)</f>
        <v/>
      </c>
      <c r="L65" s="219">
        <f>SUM(L62:L64)</f>
        <v/>
      </c>
      <c r="M65" s="220">
        <f>SUM(M62:M64)</f>
        <v/>
      </c>
      <c r="N65" s="219">
        <f>SUM(N62:N64)</f>
        <v/>
      </c>
      <c r="O65" s="219">
        <f>SUM(O62:O64)</f>
        <v/>
      </c>
      <c r="P65" s="219">
        <f>SUM(P62:P64)</f>
        <v/>
      </c>
      <c r="R65" s="212" t="n">
        <v>4</v>
      </c>
      <c r="S65" s="205" t="n">
        <v>46779</v>
      </c>
      <c r="T65" s="212">
        <f>YEAR(S65)-$S$58</f>
        <v/>
      </c>
      <c r="U65" s="216" t="n">
        <v>4350000</v>
      </c>
      <c r="V65" s="216" t="n">
        <v>191206.67</v>
      </c>
      <c r="W65" s="217">
        <f>U65+V65</f>
        <v/>
      </c>
    </row>
    <row r="66">
      <c r="D66" s="221" t="inlineStr">
        <is>
          <t>المرابحة</t>
        </is>
      </c>
      <c r="E66" s="222" t="n"/>
      <c r="F66" s="223">
        <f>F69-MAX(0,SUM(F62:F63)-IF(AND(F$61&gt;=$S$59,F$61&lt;=$S$67),$S$55,0))*$E$59</f>
        <v/>
      </c>
      <c r="G66" s="223">
        <f>G69-MAX(0,SUM(G62:G63)-IF(AND(G$61&gt;=$S$59,G$61&lt;=$S$67),$S$55,0))*$E$59</f>
        <v/>
      </c>
      <c r="H66" s="223">
        <f>H69-MAX(0,SUM(H62:H63)-IF(AND(H$61&gt;=$S$59,H$61&lt;=$S$67),$S$55,0))*$E$59</f>
        <v/>
      </c>
      <c r="I66" s="223">
        <f>I69-MAX(0,SUM(I62:I63)-IF(AND(I$61&gt;=$S$59,I$61&lt;=$S$67),$S$55,0))*$E$59</f>
        <v/>
      </c>
      <c r="J66" s="223">
        <f>J69-MAX(0,SUM(J62:J63)-IF(AND(J$61&gt;=$S$59,J$61&lt;=$S$67),$S$55,0))*$E$59</f>
        <v/>
      </c>
      <c r="K66" s="223">
        <f>K69-MAX(0,SUM(K62:K63)-IF(AND(K$61&gt;=$S$59,K$61&lt;=$S$67),$S$55,0))*$E$59</f>
        <v/>
      </c>
      <c r="L66" s="223">
        <f>L69-MAX(0,SUM(L62:L63)-IF(AND(L$61&gt;=$S$59,L$61&lt;=$S$67),$S$55,0))*$E$59</f>
        <v/>
      </c>
      <c r="M66" s="223">
        <f>M69-MAX(0,SUM(M62:M63)-IF(AND(M$61&gt;=$S$59,M$61&lt;=$S$67),$S$55,0))*$E$59</f>
        <v/>
      </c>
      <c r="N66" s="223">
        <f>N69-MAX(0,SUM(N62:N63)-IF(AND(N$61&gt;=$S$59,N$61&lt;=$S$67),$S$55,0))*$E$59</f>
        <v/>
      </c>
      <c r="O66" s="223">
        <f>O69-MAX(0,SUM(O62:O63)-IF(AND(O$61&gt;=$S$59,O$61&lt;=$S$67),$S$55,0))*$E$59</f>
        <v/>
      </c>
      <c r="P66" s="223">
        <f>P69-MAX(0,SUM(P62:P63)-IF(AND(P$61&gt;=$S$59,P$61&lt;=$S$67),$S$55,0))*$E$59</f>
        <v/>
      </c>
      <c r="Q66" s="150" t="n"/>
      <c r="R66" s="224" t="inlineStr">
        <is>
          <t>الإجمالي</t>
        </is>
      </c>
      <c r="S66" s="150" t="n"/>
      <c r="T66" s="150" t="n"/>
      <c r="U66" s="225">
        <f>SUM(U62:U65)</f>
        <v/>
      </c>
      <c r="V66" s="225">
        <f>SUM(V62:V65)</f>
        <v/>
      </c>
      <c r="W66" s="225">
        <f>SUM(W62:W65)</f>
        <v/>
      </c>
      <c r="X66" s="150" t="n"/>
      <c r="Y66" s="150" t="n"/>
      <c r="Z66" s="150" t="n"/>
    </row>
    <row r="67">
      <c r="B67" s="149" t="inlineStr">
        <is>
          <t xml:space="preserve"> </t>
        </is>
      </c>
      <c r="D67" s="150" t="inlineStr">
        <is>
          <t xml:space="preserve">نسبة السحب </t>
        </is>
      </c>
      <c r="E67" s="226">
        <f>SUM(F67:P67)</f>
        <v/>
      </c>
      <c r="F67" s="188" t="n">
        <v>0</v>
      </c>
      <c r="G67" s="188" t="n">
        <v>0.5</v>
      </c>
      <c r="H67" s="188" t="n">
        <v>0.5</v>
      </c>
      <c r="I67" s="188" t="n">
        <v>0</v>
      </c>
      <c r="J67" s="188" t="n">
        <v>0</v>
      </c>
      <c r="K67" s="188" t="n">
        <v>0</v>
      </c>
      <c r="L67" s="188">
        <f>L51</f>
        <v/>
      </c>
      <c r="M67" s="188">
        <f>M51</f>
        <v/>
      </c>
      <c r="N67" s="188">
        <f>N51</f>
        <v/>
      </c>
      <c r="O67" s="188">
        <f>O51</f>
        <v/>
      </c>
      <c r="P67" s="188">
        <f>P51</f>
        <v/>
      </c>
      <c r="Q67" s="150" t="n"/>
      <c r="R67" s="227" t="inlineStr">
        <is>
          <t>سنة آخر قسط (مساعد)</t>
        </is>
      </c>
      <c r="S67" s="228">
        <f>MAX(T62:T65)</f>
        <v/>
      </c>
      <c r="T67" s="150" t="n"/>
      <c r="U67" s="150" t="n"/>
      <c r="V67" s="150" t="n"/>
      <c r="W67" s="150" t="n"/>
      <c r="X67" s="150" t="n"/>
      <c r="Y67" s="150" t="n"/>
      <c r="Z67" s="150" t="n"/>
    </row>
    <row r="68">
      <c r="D68" s="159" t="inlineStr">
        <is>
          <t>نسبة سداد التمويل</t>
        </is>
      </c>
      <c r="E68" s="130">
        <f>SUM(F68:P68)</f>
        <v/>
      </c>
      <c r="F68" s="229" t="n">
        <v>0</v>
      </c>
      <c r="G68" s="229" t="n">
        <v>0</v>
      </c>
      <c r="H68" s="229" t="n">
        <v>0</v>
      </c>
      <c r="I68" s="229" t="n">
        <v>1</v>
      </c>
      <c r="J68" s="229" t="n">
        <v>0</v>
      </c>
      <c r="K68" s="229" t="n">
        <v>0</v>
      </c>
      <c r="L68" s="229" t="n">
        <v>0</v>
      </c>
      <c r="M68" s="229" t="n">
        <v>0</v>
      </c>
      <c r="N68" s="229" t="n">
        <v>0</v>
      </c>
      <c r="O68" s="229" t="n">
        <v>0</v>
      </c>
      <c r="P68" s="229" t="n">
        <v>0</v>
      </c>
      <c r="Q68" s="150" t="n"/>
      <c r="R68" s="227" t="inlineStr">
        <is>
          <t>تحقق: الأصل = مبلغ الشريحة</t>
        </is>
      </c>
      <c r="S68" s="230">
        <f>ROUND(U66-S55,2)=0</f>
        <v/>
      </c>
      <c r="T68" s="150" t="n"/>
      <c r="U68" s="150" t="n"/>
      <c r="V68" s="150" t="n"/>
      <c r="W68" s="150" t="n"/>
      <c r="X68" s="150" t="n"/>
      <c r="Y68" s="150" t="n"/>
      <c r="Z68" s="150" t="n"/>
    </row>
    <row r="69">
      <c r="D69" s="203" t="inlineStr">
        <is>
          <t>منها: مرابحة الشريحة الأولى (فعلي - من الجدول R61:W66)</t>
        </is>
      </c>
      <c r="F69" s="231">
        <f>-SUMIF($T$62:$T$65,F$61,$V$62:$V$65)</f>
        <v/>
      </c>
      <c r="G69" s="231">
        <f>-SUMIF($T$62:$T$65,G$61,$V$62:$V$65)</f>
        <v/>
      </c>
      <c r="H69" s="231">
        <f>-SUMIF($T$62:$T$65,H$61,$V$62:$V$65)</f>
        <v/>
      </c>
      <c r="I69" s="231">
        <f>-SUMIF($T$62:$T$65,I$61,$V$62:$V$65)</f>
        <v/>
      </c>
      <c r="J69" s="231">
        <f>-SUMIF($T$62:$T$65,J$61,$V$62:$V$65)</f>
        <v/>
      </c>
      <c r="K69" s="231">
        <f>-SUMIF($T$62:$T$65,K$61,$V$62:$V$65)</f>
        <v/>
      </c>
      <c r="L69" s="231">
        <f>-SUMIF($T$62:$T$65,L$61,$V$62:$V$65)</f>
        <v/>
      </c>
      <c r="M69" s="232">
        <f>-SUMIF($T$62:$T$65,M$61,$V$62:$V$65)</f>
        <v/>
      </c>
      <c r="N69" s="231">
        <f>-SUMIF($T$62:$T$65,N$61,$V$62:$V$65)</f>
        <v/>
      </c>
      <c r="O69" s="231">
        <f>-SUMIF($T$62:$T$65,O$61,$V$62:$V$65)</f>
        <v/>
      </c>
      <c r="P69" s="231">
        <f>-SUMIF($T$62:$T$65,P$61,$V$62:$V$65)</f>
        <v/>
      </c>
      <c r="Q69" s="150" t="n"/>
      <c r="R69" s="150" t="n"/>
      <c r="S69" s="150" t="n"/>
      <c r="T69" s="150" t="n"/>
      <c r="U69" s="150" t="n"/>
      <c r="V69" s="150" t="n"/>
      <c r="W69" s="150" t="n"/>
      <c r="X69" s="150" t="n"/>
      <c r="Y69" s="150" t="n"/>
      <c r="Z69" s="150" t="n"/>
    </row>
    <row r="70">
      <c r="F70" s="151">
        <f>G70/G76</f>
        <v/>
      </c>
      <c r="G70" s="151">
        <f>12*1350000</f>
        <v/>
      </c>
      <c r="H70" s="151">
        <f>273.64*24</f>
        <v/>
      </c>
      <c r="M70" s="199" t="n"/>
      <c r="Q70" s="150" t="n"/>
      <c r="R70" s="150" t="n"/>
      <c r="S70" s="150" t="n"/>
      <c r="T70" s="150" t="n"/>
      <c r="U70" s="150" t="n"/>
      <c r="V70" s="150" t="n"/>
      <c r="W70" s="150" t="n"/>
      <c r="X70" s="150" t="n"/>
      <c r="Y70" s="150" t="n"/>
      <c r="Z70" s="150" t="n"/>
    </row>
    <row r="71">
      <c r="A71" s="156" t="inlineStr">
        <is>
          <t>رابعا | التدفقات النقدية  -  البيع على الخارطة</t>
        </is>
      </c>
      <c r="B71" s="156" t="n"/>
      <c r="C71" s="156" t="n"/>
      <c r="D71" s="157" t="n"/>
      <c r="E71" s="155" t="n"/>
      <c r="F71" s="155" t="n"/>
      <c r="G71" s="155" t="n"/>
      <c r="H71" s="155" t="n"/>
      <c r="I71" s="155" t="n"/>
      <c r="J71" s="155" t="n"/>
      <c r="K71" s="155" t="n"/>
      <c r="L71" s="155" t="n"/>
      <c r="M71" s="197" t="n"/>
      <c r="N71" s="155" t="n"/>
      <c r="O71" s="155" t="n"/>
      <c r="P71" s="155" t="n"/>
      <c r="Q71" s="155" t="n"/>
      <c r="R71" s="155" t="n"/>
      <c r="S71" s="155" t="n"/>
      <c r="T71" s="155" t="n"/>
      <c r="U71" s="155" t="n"/>
      <c r="V71" s="155" t="n"/>
      <c r="W71" s="155" t="n"/>
      <c r="X71" s="155" t="n"/>
      <c r="Y71" s="155" t="n"/>
      <c r="Z71" s="155" t="n"/>
      <c r="AA71" s="155" t="inlineStr">
        <is>
          <t xml:space="preserve"> </t>
        </is>
      </c>
    </row>
    <row r="72">
      <c r="I72" s="151">
        <f>H81*95%</f>
        <v/>
      </c>
      <c r="M72" s="199" t="n"/>
      <c r="Q72" s="150" t="n"/>
      <c r="R72" s="150" t="n"/>
      <c r="S72" s="150" t="n"/>
      <c r="T72" s="150" t="n"/>
      <c r="U72" s="150" t="n"/>
      <c r="V72" s="150" t="n"/>
      <c r="W72" s="150" t="n"/>
      <c r="X72" s="150" t="n"/>
      <c r="Y72" s="150" t="n"/>
      <c r="Z72" s="150" t="n"/>
    </row>
    <row r="73">
      <c r="C73" s="191" t="n"/>
      <c r="D73" s="191" t="inlineStr">
        <is>
          <t>البند</t>
        </is>
      </c>
      <c r="E73" s="233" t="inlineStr">
        <is>
          <t>مساعد</t>
        </is>
      </c>
      <c r="F73" s="202" t="n">
        <v>0</v>
      </c>
      <c r="G73" s="202" t="n">
        <v>1</v>
      </c>
      <c r="H73" s="202">
        <f>G73+1</f>
        <v/>
      </c>
      <c r="I73" s="202">
        <f>H73+1</f>
        <v/>
      </c>
      <c r="J73" s="202">
        <f>I73+1</f>
        <v/>
      </c>
      <c r="K73" s="202">
        <f>J73+1</f>
        <v/>
      </c>
      <c r="L73" s="202">
        <f>K73+1</f>
        <v/>
      </c>
      <c r="M73" s="234">
        <f>L73+1</f>
        <v/>
      </c>
      <c r="N73" s="202">
        <f>M73+1</f>
        <v/>
      </c>
      <c r="O73" s="202">
        <f>N73+1</f>
        <v/>
      </c>
      <c r="P73" s="202">
        <f>O73+1</f>
        <v/>
      </c>
      <c r="Q73" s="150" t="n"/>
      <c r="R73" s="150" t="n"/>
      <c r="S73" s="150" t="n"/>
      <c r="T73" s="150" t="n"/>
      <c r="U73" s="150" t="n"/>
      <c r="V73" s="150" t="n"/>
      <c r="W73" s="150" t="n"/>
      <c r="X73" s="150" t="n"/>
      <c r="Y73" s="150" t="n"/>
      <c r="Z73" s="150" t="n"/>
    </row>
    <row r="74">
      <c r="C74" s="235" t="n"/>
      <c r="D74" s="235" t="inlineStr">
        <is>
          <t>بيع  تاون هاوس</t>
        </is>
      </c>
      <c r="E74" s="236" t="n"/>
      <c r="F74" s="237" t="n"/>
      <c r="G74" s="237" t="n"/>
      <c r="H74" s="237" t="n"/>
      <c r="I74" s="237" t="n"/>
      <c r="J74" s="237" t="n"/>
      <c r="K74" s="237" t="n"/>
      <c r="L74" s="237" t="n"/>
      <c r="M74" s="238" t="n"/>
      <c r="N74" s="237" t="n"/>
      <c r="O74" s="237" t="n"/>
      <c r="P74" s="237" t="n"/>
      <c r="Q74" s="150" t="n"/>
      <c r="R74" s="150" t="n"/>
      <c r="S74" s="150" t="n"/>
      <c r="T74" s="150" t="n"/>
      <c r="U74" s="150" t="n"/>
      <c r="V74" s="150" t="n"/>
      <c r="W74" s="150" t="n"/>
      <c r="X74" s="150" t="n"/>
      <c r="Y74" s="150" t="n"/>
      <c r="Z74" s="150" t="n"/>
    </row>
    <row r="75">
      <c r="C75" s="206" t="n"/>
      <c r="D75" s="239" t="inlineStr">
        <is>
          <t>نسبة المساحة المباعة</t>
        </is>
      </c>
      <c r="E75" s="240">
        <f>SUM(G75:U75)</f>
        <v/>
      </c>
      <c r="F75" s="241" t="n"/>
      <c r="G75" s="193" t="n">
        <v>0.5</v>
      </c>
      <c r="H75" s="193" t="n">
        <v>0.5</v>
      </c>
      <c r="I75" s="193" t="n">
        <v>0</v>
      </c>
      <c r="J75" s="193" t="n">
        <v>0</v>
      </c>
      <c r="K75" s="193" t="n">
        <v>0</v>
      </c>
      <c r="L75" s="193" t="n">
        <v>0</v>
      </c>
      <c r="M75" s="242" t="n">
        <v>0</v>
      </c>
      <c r="N75" s="193" t="n">
        <v>0</v>
      </c>
      <c r="O75" s="193" t="n">
        <v>0</v>
      </c>
      <c r="P75" s="193" t="n">
        <v>0</v>
      </c>
      <c r="Q75" s="150" t="n"/>
      <c r="R75" s="150" t="n"/>
      <c r="S75" s="150" t="n"/>
      <c r="T75" s="150" t="n"/>
      <c r="U75" s="150" t="n"/>
      <c r="V75" s="150" t="n"/>
      <c r="W75" s="150" t="n"/>
      <c r="X75" s="150" t="n"/>
      <c r="Y75" s="150" t="n"/>
      <c r="Z75" s="150" t="n"/>
    </row>
    <row r="76">
      <c r="D76" s="243" t="inlineStr">
        <is>
          <t>المساحات المباعة</t>
        </is>
      </c>
      <c r="E76" s="244">
        <f>E18</f>
        <v/>
      </c>
      <c r="F76" s="245" t="n"/>
      <c r="G76" s="151">
        <f>G75*$E76</f>
        <v/>
      </c>
      <c r="H76" s="151">
        <f>H75*$E76</f>
        <v/>
      </c>
      <c r="I76" s="151">
        <f>I75*$E76</f>
        <v/>
      </c>
      <c r="J76" s="151">
        <f>J75*$E76</f>
        <v/>
      </c>
      <c r="K76" s="151">
        <f>K75*$E76</f>
        <v/>
      </c>
      <c r="L76" s="151">
        <f>L75*$E76</f>
        <v/>
      </c>
      <c r="M76" s="199">
        <f>M75*$E76</f>
        <v/>
      </c>
      <c r="N76" s="151">
        <f>N75*$E76</f>
        <v/>
      </c>
      <c r="O76" s="151">
        <f>O75*$E76</f>
        <v/>
      </c>
      <c r="P76" s="151">
        <f>P75*$E76</f>
        <v/>
      </c>
      <c r="Q76" s="150" t="n"/>
      <c r="R76" s="150" t="n"/>
      <c r="S76" s="150" t="n"/>
      <c r="T76" s="150" t="n"/>
      <c r="U76" s="150" t="n"/>
      <c r="V76" s="150" t="n"/>
      <c r="W76" s="150" t="n"/>
      <c r="X76" s="150" t="n"/>
      <c r="Y76" s="150" t="n"/>
      <c r="Z76" s="150" t="n"/>
    </row>
    <row r="77">
      <c r="D77" s="243" t="inlineStr">
        <is>
          <t>متوسط سعر المتر</t>
        </is>
      </c>
      <c r="E77" s="246">
        <f>E80/E76</f>
        <v/>
      </c>
      <c r="F77" s="245" t="n"/>
      <c r="G77" s="180" t="n">
        <v>4202.601958777956</v>
      </c>
      <c r="H77" s="180" t="n">
        <v>4933.489255956732</v>
      </c>
      <c r="I77" s="180" t="n">
        <v>5400</v>
      </c>
      <c r="J77" s="180">
        <f>I77</f>
        <v/>
      </c>
      <c r="K77" s="180" t="n">
        <v>0</v>
      </c>
      <c r="L77" s="180" t="n">
        <v>0</v>
      </c>
      <c r="M77" s="247" t="n">
        <v>0</v>
      </c>
      <c r="N77" s="180" t="n">
        <v>0</v>
      </c>
      <c r="O77" s="180" t="n">
        <v>0</v>
      </c>
      <c r="P77" s="180" t="n">
        <v>0</v>
      </c>
      <c r="Q77" s="150" t="n"/>
      <c r="R77" s="150" t="n"/>
      <c r="S77" s="150" t="n"/>
      <c r="T77" s="150" t="n"/>
      <c r="U77" s="150" t="n"/>
      <c r="V77" s="150" t="n"/>
      <c r="W77" s="150" t="n"/>
      <c r="X77" s="150" t="n"/>
      <c r="Y77" s="150" t="n"/>
      <c r="Z77" s="150" t="n"/>
    </row>
    <row r="78">
      <c r="D78" s="243" t="inlineStr">
        <is>
          <t>عدد الوحدات</t>
        </is>
      </c>
      <c r="E78" s="246">
        <f>E20</f>
        <v/>
      </c>
      <c r="F78" s="245" t="n"/>
      <c r="G78" s="168">
        <f>G75*$E78</f>
        <v/>
      </c>
      <c r="H78" s="168">
        <f>H75*$E78</f>
        <v/>
      </c>
      <c r="I78" s="168">
        <f>I75*$E78</f>
        <v/>
      </c>
      <c r="J78" s="168">
        <f>J75*$E78</f>
        <v/>
      </c>
      <c r="K78" s="168">
        <f>K75*$E78</f>
        <v/>
      </c>
      <c r="L78" s="168">
        <f>L75*$E78</f>
        <v/>
      </c>
      <c r="M78" s="248">
        <f>M75*$E78</f>
        <v/>
      </c>
      <c r="N78" s="168">
        <f>N75*$E78</f>
        <v/>
      </c>
      <c r="O78" s="168">
        <f>O75*$E78</f>
        <v/>
      </c>
      <c r="P78" s="168">
        <f>P75*$E78</f>
        <v/>
      </c>
      <c r="Q78" s="150" t="n"/>
      <c r="R78" s="150" t="n"/>
      <c r="S78" s="150" t="n"/>
      <c r="T78" s="150" t="n"/>
      <c r="U78" s="150" t="n"/>
      <c r="V78" s="150" t="n"/>
      <c r="W78" s="150" t="n"/>
      <c r="X78" s="150" t="n"/>
      <c r="Y78" s="150" t="n"/>
      <c r="Z78" s="150" t="n"/>
    </row>
    <row r="79">
      <c r="D79" s="243" t="inlineStr">
        <is>
          <t>متوسط سعر القطعة</t>
        </is>
      </c>
      <c r="E79" s="246">
        <f>E77*E19</f>
        <v/>
      </c>
      <c r="F79" s="245" t="n"/>
      <c r="G79" s="198">
        <f>G77*$E19</f>
        <v/>
      </c>
      <c r="H79" s="198">
        <f>H77*$E19</f>
        <v/>
      </c>
      <c r="I79" s="198">
        <f>I77*$E19</f>
        <v/>
      </c>
      <c r="J79" s="198">
        <f>J77*$E19</f>
        <v/>
      </c>
      <c r="K79" s="198">
        <f>K77*$E19</f>
        <v/>
      </c>
      <c r="L79" s="198">
        <f>L77*$E19</f>
        <v/>
      </c>
      <c r="M79" s="198">
        <f>M77*$E19</f>
        <v/>
      </c>
      <c r="N79" s="198">
        <f>N77*$E19</f>
        <v/>
      </c>
      <c r="O79" s="198">
        <f>O77*$E19</f>
        <v/>
      </c>
      <c r="P79" s="198">
        <f>P77*$E19</f>
        <v/>
      </c>
      <c r="Q79" s="150" t="n"/>
      <c r="R79" s="150" t="n"/>
      <c r="S79" s="150" t="n"/>
      <c r="T79" s="150" t="n"/>
      <c r="U79" s="150" t="n"/>
      <c r="V79" s="150" t="n"/>
      <c r="W79" s="150" t="n"/>
      <c r="X79" s="150" t="n"/>
      <c r="Y79" s="150" t="n"/>
      <c r="Z79" s="150" t="n"/>
    </row>
    <row r="80">
      <c r="C80" s="189" t="n"/>
      <c r="D80" s="249" t="inlineStr">
        <is>
          <t>رصيد المبيعات</t>
        </is>
      </c>
      <c r="E80" s="250">
        <f>SUM(G80:R80)</f>
        <v/>
      </c>
      <c r="F80" s="251" t="n"/>
      <c r="G80" s="192">
        <f>G77*G76</f>
        <v/>
      </c>
      <c r="H80" s="192">
        <f>H77*H76</f>
        <v/>
      </c>
      <c r="I80" s="192">
        <f>I77*I76</f>
        <v/>
      </c>
      <c r="J80" s="192">
        <f>J77*J76</f>
        <v/>
      </c>
      <c r="K80" s="192">
        <f>K77*K76</f>
        <v/>
      </c>
      <c r="L80" s="192">
        <f>L77*L76</f>
        <v/>
      </c>
      <c r="M80" s="252">
        <f>M77*M76</f>
        <v/>
      </c>
      <c r="N80" s="192">
        <f>N77*N76</f>
        <v/>
      </c>
      <c r="O80" s="192">
        <f>O77*O76</f>
        <v/>
      </c>
      <c r="P80" s="192">
        <f>P77*P76</f>
        <v/>
      </c>
      <c r="Q80" s="150" t="n"/>
      <c r="R80" s="150" t="n"/>
      <c r="S80" s="150" t="n"/>
      <c r="T80" s="150" t="n"/>
      <c r="U80" s="150" t="n"/>
      <c r="V80" s="150" t="n"/>
      <c r="W80" s="150" t="n"/>
      <c r="X80" s="150" t="n"/>
      <c r="Y80" s="150" t="n"/>
      <c r="Z80" s="150" t="n"/>
    </row>
    <row r="81">
      <c r="C81" s="253" t="n"/>
      <c r="D81" s="253" t="n"/>
      <c r="E81" s="254" t="n"/>
      <c r="F81" s="255" t="n"/>
      <c r="G81" s="255" t="n"/>
      <c r="H81" s="255" t="n"/>
      <c r="I81" s="255" t="n"/>
      <c r="J81" s="255" t="n"/>
      <c r="K81" s="255" t="n"/>
      <c r="L81" s="255" t="n"/>
      <c r="M81" s="256" t="n"/>
      <c r="N81" s="255" t="n"/>
      <c r="O81" s="255" t="n"/>
      <c r="P81" s="255" t="n"/>
      <c r="Q81" s="150" t="n"/>
      <c r="R81" s="150" t="n"/>
      <c r="S81" s="150" t="n"/>
      <c r="T81" s="150" t="n"/>
      <c r="U81" s="150" t="n"/>
      <c r="V81" s="150" t="n"/>
      <c r="W81" s="150" t="n"/>
      <c r="X81" s="150" t="n"/>
      <c r="Y81" s="150" t="n"/>
      <c r="Z81" s="150" t="n"/>
    </row>
    <row r="82">
      <c r="C82" s="257" t="n"/>
      <c r="D82" s="257" t="inlineStr">
        <is>
          <t>نسبة التحصيل للبيع على الخارطة</t>
        </is>
      </c>
      <c r="E82" s="258">
        <f>IF(SUM(G82:R82)=1,1,0)</f>
        <v/>
      </c>
      <c r="F82" s="259" t="n"/>
      <c r="G82" s="260" t="n">
        <v>1</v>
      </c>
      <c r="H82" s="193" t="n">
        <v>0</v>
      </c>
      <c r="I82" s="193" t="n">
        <v>0</v>
      </c>
      <c r="J82" s="193" t="n">
        <v>0</v>
      </c>
      <c r="K82" s="193" t="n">
        <v>0</v>
      </c>
      <c r="L82" s="193" t="n">
        <v>0</v>
      </c>
      <c r="M82" s="242" t="n">
        <v>0</v>
      </c>
      <c r="N82" s="193" t="n">
        <v>0</v>
      </c>
      <c r="O82" s="193" t="n">
        <v>0</v>
      </c>
      <c r="P82" s="193" t="n">
        <v>0</v>
      </c>
      <c r="Q82" s="150" t="n"/>
      <c r="R82" s="150" t="n"/>
      <c r="S82" s="150" t="n"/>
      <c r="T82" s="150" t="n"/>
      <c r="U82" s="150" t="n"/>
      <c r="V82" s="150" t="n"/>
      <c r="W82" s="150" t="n"/>
      <c r="X82" s="150" t="n"/>
      <c r="Y82" s="150" t="n"/>
      <c r="Z82" s="150" t="n"/>
    </row>
    <row r="83">
      <c r="C83" s="253" t="n"/>
      <c r="D83" s="253" t="inlineStr">
        <is>
          <t>العام</t>
        </is>
      </c>
      <c r="E83" s="254" t="inlineStr">
        <is>
          <t>رصيد المبيعات</t>
        </is>
      </c>
      <c r="F83" s="255" t="n"/>
      <c r="G83" s="255" t="n"/>
      <c r="H83" s="255" t="n"/>
      <c r="I83" s="255" t="n"/>
      <c r="J83" s="255" t="n"/>
      <c r="K83" s="255" t="n"/>
      <c r="L83" s="255" t="n"/>
      <c r="M83" s="256" t="n"/>
      <c r="N83" s="255" t="n"/>
      <c r="O83" s="255" t="n"/>
      <c r="P83" s="255" t="n"/>
      <c r="Q83" s="150" t="n"/>
      <c r="R83" s="150" t="n"/>
      <c r="S83" s="150" t="n"/>
      <c r="T83" s="150" t="n"/>
      <c r="U83" s="150" t="n"/>
      <c r="V83" s="150" t="n"/>
      <c r="W83" s="150" t="n"/>
      <c r="X83" s="150" t="n"/>
      <c r="Y83" s="150" t="n"/>
      <c r="Z83" s="150" t="n"/>
    </row>
    <row r="84">
      <c r="C84" s="261" t="n"/>
      <c r="D84" s="261" t="n">
        <v>1</v>
      </c>
      <c r="E84" s="246">
        <f t="array" ref="E84:E95">TRANSPOSE(G80:R80)</f>
        <v/>
      </c>
      <c r="F84" s="262" t="n"/>
      <c r="G84" s="198">
        <f>G82*E84</f>
        <v/>
      </c>
      <c r="H84" s="198">
        <f>H82*E84</f>
        <v/>
      </c>
      <c r="I84" s="198">
        <f>I82*E84</f>
        <v/>
      </c>
      <c r="J84" s="198">
        <f>J82*E84</f>
        <v/>
      </c>
      <c r="K84" s="198">
        <f>K82*E84</f>
        <v/>
      </c>
      <c r="L84" s="198">
        <f>L82*E84</f>
        <v/>
      </c>
      <c r="M84" s="263">
        <f>M82*E84</f>
        <v/>
      </c>
      <c r="N84" s="198">
        <f>N82*$E84</f>
        <v/>
      </c>
      <c r="O84" s="198">
        <f>O82*$E84</f>
        <v/>
      </c>
      <c r="P84" s="198">
        <f>P82*$E84</f>
        <v/>
      </c>
      <c r="Q84" s="150" t="n"/>
      <c r="R84" s="150" t="n"/>
      <c r="S84" s="150" t="n"/>
      <c r="T84" s="150" t="n"/>
      <c r="U84" s="150" t="n"/>
      <c r="V84" s="150" t="n"/>
      <c r="W84" s="150" t="n"/>
      <c r="X84" s="150" t="n"/>
      <c r="Y84" s="150" t="n"/>
      <c r="Z84" s="150" t="n"/>
    </row>
    <row r="85">
      <c r="C85" s="261" t="n"/>
      <c r="D85" s="261">
        <f>D84+1</f>
        <v/>
      </c>
      <c r="E85" s="246" t="n">
        <v>16200000</v>
      </c>
      <c r="F85" s="262" t="n"/>
      <c r="G85" s="262" t="n"/>
      <c r="H85" s="198">
        <f>SUM(G82:H82)*E85</f>
        <v/>
      </c>
      <c r="I85" s="198">
        <f>I82*E85</f>
        <v/>
      </c>
      <c r="J85" s="198">
        <f>J82*E85</f>
        <v/>
      </c>
      <c r="K85" s="198">
        <f>K82*E85</f>
        <v/>
      </c>
      <c r="L85" s="198">
        <f>L82*E85</f>
        <v/>
      </c>
      <c r="M85" s="263">
        <f>M82*E85</f>
        <v/>
      </c>
      <c r="N85" s="198">
        <f>N82*$E85</f>
        <v/>
      </c>
      <c r="O85" s="198">
        <f>O82*$E85</f>
        <v/>
      </c>
      <c r="P85" s="198">
        <f>P82*$E85</f>
        <v/>
      </c>
      <c r="Q85" s="150" t="n"/>
      <c r="R85" s="150" t="n"/>
      <c r="S85" s="150" t="n"/>
      <c r="T85" s="150" t="n"/>
      <c r="U85" s="150" t="n"/>
      <c r="V85" s="150" t="n"/>
      <c r="W85" s="150" t="n"/>
      <c r="X85" s="150" t="n"/>
      <c r="Y85" s="150" t="n"/>
      <c r="Z85" s="150" t="n"/>
    </row>
    <row r="86">
      <c r="C86" s="261" t="n"/>
      <c r="D86" s="261">
        <f>D85+1</f>
        <v/>
      </c>
      <c r="E86" s="246" t="n">
        <v>0</v>
      </c>
      <c r="F86" s="262" t="n"/>
      <c r="G86" s="262" t="n"/>
      <c r="H86" s="262" t="n"/>
      <c r="I86" s="198">
        <f>SUM(G82:I82)*E86</f>
        <v/>
      </c>
      <c r="J86" s="198">
        <f>SUM(J82)*E86</f>
        <v/>
      </c>
      <c r="K86" s="198">
        <f>K82*$E86</f>
        <v/>
      </c>
      <c r="L86" s="198">
        <f>L82*$E86</f>
        <v/>
      </c>
      <c r="M86" s="263">
        <f>M82*$E86</f>
        <v/>
      </c>
      <c r="N86" s="198">
        <f>N82*$E86</f>
        <v/>
      </c>
      <c r="O86" s="198">
        <f>O82*$E86</f>
        <v/>
      </c>
      <c r="P86" s="198">
        <f>P82*$E86</f>
        <v/>
      </c>
      <c r="Q86" s="150" t="n"/>
      <c r="R86" s="150" t="n"/>
      <c r="S86" s="150" t="n"/>
      <c r="T86" s="150" t="n"/>
      <c r="U86" s="150" t="n"/>
      <c r="V86" s="150" t="n"/>
      <c r="W86" s="150" t="n"/>
      <c r="X86" s="150" t="n"/>
      <c r="Y86" s="150" t="n"/>
      <c r="Z86" s="150" t="n"/>
    </row>
    <row r="87">
      <c r="C87" s="261" t="n"/>
      <c r="D87" s="261">
        <f>D86+1</f>
        <v/>
      </c>
      <c r="E87" s="246" t="n">
        <v>0</v>
      </c>
      <c r="F87" s="262" t="n"/>
      <c r="G87" s="262" t="n"/>
      <c r="H87" s="262" t="n"/>
      <c r="I87" s="262" t="n"/>
      <c r="J87" s="198">
        <f>SUM(G82:J82)*$E87</f>
        <v/>
      </c>
      <c r="K87" s="198">
        <f>K82*$E87</f>
        <v/>
      </c>
      <c r="L87" s="198">
        <f>L82*$E87</f>
        <v/>
      </c>
      <c r="M87" s="263">
        <f>M82*$E87</f>
        <v/>
      </c>
      <c r="N87" s="198">
        <f>N82*$E87</f>
        <v/>
      </c>
      <c r="O87" s="198">
        <f>O82*$E87</f>
        <v/>
      </c>
      <c r="P87" s="198">
        <f>P82*$E87</f>
        <v/>
      </c>
      <c r="Q87" s="150" t="n"/>
      <c r="R87" s="150" t="n"/>
      <c r="S87" s="150" t="n"/>
      <c r="T87" s="150" t="n"/>
      <c r="U87" s="150" t="n"/>
      <c r="V87" s="150" t="n"/>
      <c r="W87" s="150" t="n"/>
      <c r="X87" s="150" t="n"/>
      <c r="Y87" s="150" t="n"/>
      <c r="Z87" s="150" t="n"/>
    </row>
    <row r="88">
      <c r="C88" s="261" t="n"/>
      <c r="D88" s="261">
        <f>D87+1</f>
        <v/>
      </c>
      <c r="E88" s="246" t="n">
        <v>0</v>
      </c>
      <c r="F88" s="262" t="n"/>
      <c r="G88" s="262" t="n"/>
      <c r="H88" s="262" t="n"/>
      <c r="I88" s="262" t="n"/>
      <c r="J88" s="262" t="n"/>
      <c r="K88" s="198">
        <f>SUM(G82:K82)*E88</f>
        <v/>
      </c>
      <c r="L88" s="198">
        <f>L82*E88</f>
        <v/>
      </c>
      <c r="M88" s="263" t="n">
        <v>0</v>
      </c>
      <c r="N88" s="198" t="n">
        <v>0</v>
      </c>
      <c r="O88" s="198" t="n">
        <v>0</v>
      </c>
      <c r="P88" s="198" t="n">
        <v>0</v>
      </c>
      <c r="Q88" s="150" t="n"/>
      <c r="R88" s="150" t="n"/>
      <c r="S88" s="150" t="n"/>
      <c r="T88" s="150" t="n"/>
      <c r="U88" s="150" t="n"/>
      <c r="V88" s="150" t="n"/>
      <c r="W88" s="150" t="n"/>
      <c r="X88" s="150" t="n"/>
      <c r="Y88" s="150" t="n"/>
      <c r="Z88" s="150" t="n"/>
    </row>
    <row r="89">
      <c r="C89" s="261" t="n"/>
      <c r="D89" s="261">
        <f>D88+1</f>
        <v/>
      </c>
      <c r="E89" s="246" t="n">
        <v>0</v>
      </c>
      <c r="F89" s="262" t="n"/>
      <c r="G89" s="262" t="n"/>
      <c r="H89" s="262" t="n"/>
      <c r="I89" s="262" t="n"/>
      <c r="J89" s="262" t="n"/>
      <c r="K89" s="262" t="n"/>
      <c r="L89" s="198">
        <f>SUM(G82:L82)*E89</f>
        <v/>
      </c>
      <c r="M89" s="263" t="n">
        <v>0</v>
      </c>
      <c r="N89" s="198" t="n">
        <v>0</v>
      </c>
      <c r="O89" s="198" t="n">
        <v>0</v>
      </c>
      <c r="P89" s="198" t="n">
        <v>0</v>
      </c>
      <c r="Q89" s="150" t="n"/>
      <c r="R89" s="150" t="n"/>
      <c r="S89" s="150" t="n"/>
      <c r="T89" s="150" t="n"/>
      <c r="U89" s="150" t="n"/>
      <c r="V89" s="150" t="n"/>
      <c r="W89" s="150" t="n"/>
      <c r="X89" s="150" t="n"/>
      <c r="Y89" s="150" t="n"/>
      <c r="Z89" s="150" t="n"/>
    </row>
    <row r="90">
      <c r="C90" s="261" t="n"/>
      <c r="D90" s="261">
        <f>D89+1</f>
        <v/>
      </c>
      <c r="E90" s="246" t="n">
        <v>0</v>
      </c>
      <c r="F90" s="262" t="n"/>
      <c r="G90" s="262" t="n"/>
      <c r="H90" s="262" t="n"/>
      <c r="I90" s="262" t="n"/>
      <c r="J90" s="262" t="n"/>
      <c r="K90" s="262" t="n"/>
      <c r="L90" s="262" t="n"/>
      <c r="M90" s="263">
        <f>SUM(G82:M82)*E90</f>
        <v/>
      </c>
      <c r="N90" s="198" t="n">
        <v>0</v>
      </c>
      <c r="O90" s="198" t="n">
        <v>0</v>
      </c>
      <c r="P90" s="198" t="n">
        <v>0</v>
      </c>
      <c r="Q90" s="150" t="n"/>
      <c r="R90" s="150" t="n"/>
      <c r="S90" s="150" t="n"/>
      <c r="T90" s="150" t="n"/>
      <c r="U90" s="150" t="n"/>
      <c r="V90" s="150" t="n"/>
      <c r="W90" s="150" t="n"/>
      <c r="X90" s="150" t="n"/>
      <c r="Y90" s="150" t="n"/>
      <c r="Z90" s="150" t="n"/>
    </row>
    <row r="91">
      <c r="C91" s="261" t="n"/>
      <c r="D91" s="261">
        <f>D90+1</f>
        <v/>
      </c>
      <c r="E91" s="246" t="n">
        <v>0</v>
      </c>
      <c r="F91" s="262" t="n"/>
      <c r="G91" s="262" t="n"/>
      <c r="H91" s="262" t="n"/>
      <c r="I91" s="262" t="n"/>
      <c r="J91" s="262" t="n"/>
      <c r="K91" s="262" t="n"/>
      <c r="L91" s="262" t="n"/>
      <c r="M91" s="264" t="n"/>
      <c r="N91" s="198">
        <f>SUM(G82:N82)*E91</f>
        <v/>
      </c>
      <c r="O91" s="198" t="n">
        <v>0</v>
      </c>
      <c r="P91" s="198" t="n">
        <v>0</v>
      </c>
      <c r="Q91" s="150" t="n"/>
      <c r="R91" s="150" t="n"/>
      <c r="S91" s="150" t="n"/>
      <c r="T91" s="150" t="n"/>
      <c r="U91" s="150" t="n"/>
      <c r="V91" s="150" t="n"/>
      <c r="W91" s="150" t="n"/>
      <c r="X91" s="150" t="n"/>
      <c r="Y91" s="150" t="n"/>
      <c r="Z91" s="150" t="n"/>
    </row>
    <row r="92">
      <c r="C92" s="261" t="n"/>
      <c r="D92" s="261">
        <f>D91+1</f>
        <v/>
      </c>
      <c r="E92" s="246" t="n">
        <v>0</v>
      </c>
      <c r="F92" s="262" t="n"/>
      <c r="G92" s="262" t="n"/>
      <c r="H92" s="262" t="n"/>
      <c r="I92" s="262" t="n"/>
      <c r="J92" s="262" t="n"/>
      <c r="K92" s="262" t="n"/>
      <c r="L92" s="262" t="n"/>
      <c r="M92" s="264" t="n"/>
      <c r="N92" s="262" t="n"/>
      <c r="O92" s="198">
        <f>SUM(G82:O82)*E92</f>
        <v/>
      </c>
      <c r="P92" s="198">
        <f>SUM(H82:P82)*F92</f>
        <v/>
      </c>
      <c r="Q92" s="150" t="n"/>
      <c r="R92" s="150" t="n"/>
      <c r="S92" s="150" t="n"/>
      <c r="T92" s="150" t="n"/>
      <c r="U92" s="150" t="n"/>
      <c r="V92" s="150" t="n"/>
      <c r="W92" s="150" t="n"/>
      <c r="X92" s="150" t="n"/>
      <c r="Y92" s="150" t="n"/>
      <c r="Z92" s="150" t="n"/>
    </row>
    <row r="93">
      <c r="C93" s="261" t="n"/>
      <c r="D93" s="261">
        <f>D92+1</f>
        <v/>
      </c>
      <c r="E93" s="246" t="n">
        <v>0</v>
      </c>
      <c r="F93" s="262" t="n"/>
      <c r="G93" s="262" t="n"/>
      <c r="H93" s="262" t="n"/>
      <c r="I93" s="262" t="n"/>
      <c r="J93" s="262" t="n"/>
      <c r="K93" s="262" t="n"/>
      <c r="L93" s="262" t="n"/>
      <c r="M93" s="264" t="n"/>
      <c r="N93" s="262" t="n"/>
      <c r="O93" s="262" t="n"/>
      <c r="P93" s="198">
        <f>SUM(G82:P82)*E93</f>
        <v/>
      </c>
      <c r="Q93" s="150" t="n"/>
      <c r="R93" s="150" t="n"/>
      <c r="S93" s="150" t="n"/>
      <c r="T93" s="150" t="n"/>
      <c r="U93" s="150" t="n"/>
      <c r="V93" s="150" t="n"/>
      <c r="W93" s="150" t="n"/>
      <c r="X93" s="150" t="n"/>
      <c r="Y93" s="150" t="n"/>
      <c r="Z93" s="150" t="n"/>
    </row>
    <row r="94">
      <c r="C94" s="261" t="n"/>
      <c r="D94" s="261">
        <f>D93+1</f>
        <v/>
      </c>
      <c r="E94" s="246" t="n">
        <v>0</v>
      </c>
      <c r="F94" s="262" t="n"/>
      <c r="G94" s="262" t="n"/>
      <c r="H94" s="262" t="n"/>
      <c r="I94" s="262" t="n"/>
      <c r="J94" s="262" t="n"/>
      <c r="K94" s="262" t="n"/>
      <c r="L94" s="262" t="n"/>
      <c r="M94" s="264" t="n"/>
      <c r="N94" s="262" t="n"/>
      <c r="O94" s="262" t="n"/>
      <c r="P94" s="262" t="n"/>
      <c r="Q94" s="150" t="n"/>
      <c r="R94" s="150" t="n"/>
      <c r="S94" s="150" t="n"/>
      <c r="T94" s="150" t="n"/>
      <c r="U94" s="150" t="n"/>
      <c r="V94" s="150" t="n"/>
      <c r="W94" s="150" t="n"/>
      <c r="X94" s="150" t="n"/>
      <c r="Y94" s="150" t="n"/>
      <c r="Z94" s="150" t="n"/>
    </row>
    <row r="95">
      <c r="C95" s="261" t="n"/>
      <c r="D95" s="261">
        <f>D94+1</f>
        <v/>
      </c>
      <c r="E95" s="246" t="n">
        <v>0</v>
      </c>
      <c r="F95" s="262" t="n"/>
      <c r="G95" s="262" t="n"/>
      <c r="H95" s="262" t="n"/>
      <c r="I95" s="262" t="n"/>
      <c r="J95" s="262" t="n"/>
      <c r="K95" s="262" t="n"/>
      <c r="L95" s="262" t="n"/>
      <c r="M95" s="264" t="n"/>
      <c r="N95" s="262" t="n"/>
      <c r="O95" s="262" t="n"/>
      <c r="P95" s="262" t="n"/>
      <c r="Q95" s="150" t="n"/>
      <c r="R95" s="150" t="n"/>
      <c r="S95" s="150" t="n"/>
      <c r="T95" s="150" t="n"/>
      <c r="U95" s="150" t="n"/>
      <c r="V95" s="150" t="n"/>
      <c r="W95" s="150" t="n"/>
      <c r="X95" s="150" t="n"/>
      <c r="Y95" s="150" t="n"/>
      <c r="Z95" s="150" t="n"/>
    </row>
    <row r="96">
      <c r="C96" s="265" t="n"/>
      <c r="D96" s="265" t="inlineStr">
        <is>
          <t>تحصيل مبيعات الشقق السكنية</t>
        </is>
      </c>
      <c r="E96" s="266">
        <f>SUM(E84:E95)</f>
        <v/>
      </c>
      <c r="F96" s="267" t="n"/>
      <c r="G96" s="267">
        <f>SUM(G84:G95)</f>
        <v/>
      </c>
      <c r="H96" s="267">
        <f>SUM(H84:H95)</f>
        <v/>
      </c>
      <c r="I96" s="267">
        <f>SUM(I84:I95)</f>
        <v/>
      </c>
      <c r="J96" s="267">
        <f>SUM(J84:J95)</f>
        <v/>
      </c>
      <c r="K96" s="267">
        <f>SUM(K84:K95)</f>
        <v/>
      </c>
      <c r="L96" s="267">
        <f>SUM(L84:L95)</f>
        <v/>
      </c>
      <c r="M96" s="268">
        <f>SUM(M84:M95)</f>
        <v/>
      </c>
      <c r="N96" s="267">
        <f>SUM(N84:N95)</f>
        <v/>
      </c>
      <c r="O96" s="267">
        <f>SUM(O84:O95)</f>
        <v/>
      </c>
      <c r="P96" s="267">
        <f>SUM(P84:P95)</f>
        <v/>
      </c>
      <c r="Q96" s="150" t="n"/>
      <c r="R96" s="150" t="n"/>
      <c r="S96" s="150" t="n"/>
      <c r="T96" s="150" t="n"/>
      <c r="U96" s="150" t="n"/>
      <c r="V96" s="150" t="n"/>
      <c r="W96" s="150" t="n"/>
      <c r="X96" s="150" t="n"/>
      <c r="Y96" s="150" t="n"/>
      <c r="Z96" s="150" t="n"/>
    </row>
    <row r="97" ht="14.4" customFormat="1" customHeight="1" s="150">
      <c r="A97" s="149" t="n"/>
      <c r="B97" s="149" t="n"/>
      <c r="C97" s="149" t="n"/>
      <c r="D97" s="149" t="n"/>
      <c r="E97" s="149" t="n"/>
      <c r="F97" s="149" t="n"/>
      <c r="G97" s="149" t="n"/>
      <c r="H97" s="149" t="n"/>
      <c r="I97" s="149" t="n"/>
      <c r="J97" s="149" t="n"/>
      <c r="K97" s="149" t="n"/>
      <c r="L97" s="149" t="n"/>
      <c r="M97" s="149" t="n"/>
      <c r="N97" s="149" t="n"/>
      <c r="O97" s="149" t="n"/>
      <c r="P97" s="149" t="n"/>
    </row>
    <row r="98" ht="14.4" customFormat="1" customHeight="1" s="150">
      <c r="A98" s="149" t="n"/>
      <c r="B98" s="149" t="n"/>
      <c r="C98" s="185" t="inlineStr">
        <is>
          <t>تكاليف المشروع</t>
        </is>
      </c>
      <c r="D98" s="186" t="n"/>
      <c r="E98" s="269" t="n"/>
      <c r="F98" s="186" t="n">
        <v>0</v>
      </c>
      <c r="G98" s="186" t="n">
        <v>1</v>
      </c>
      <c r="H98" s="186">
        <f>G98+1</f>
        <v/>
      </c>
      <c r="I98" s="186">
        <f>H98+1</f>
        <v/>
      </c>
      <c r="J98" s="186">
        <f>I98+1</f>
        <v/>
      </c>
      <c r="K98" s="186">
        <f>J98+1</f>
        <v/>
      </c>
      <c r="L98" s="186">
        <f>K98+1</f>
        <v/>
      </c>
      <c r="M98" s="186">
        <f>L98+1</f>
        <v/>
      </c>
      <c r="N98" s="186">
        <f>M98+1</f>
        <v/>
      </c>
      <c r="O98" s="186">
        <f>N98+1</f>
        <v/>
      </c>
      <c r="P98" s="186">
        <f>O98+1</f>
        <v/>
      </c>
    </row>
    <row r="99" ht="14.4" customFormat="1" customHeight="1" s="150">
      <c r="A99" s="149" t="n"/>
      <c r="B99" s="149" t="n"/>
      <c r="C99" s="270" t="n"/>
      <c r="D99" s="271" t="inlineStr">
        <is>
          <t>فترات التطوير</t>
        </is>
      </c>
      <c r="E99" s="272" t="n"/>
      <c r="F99" s="273">
        <f>IF(SUM(F100,F102)&gt;0,1,0)</f>
        <v/>
      </c>
      <c r="G99" s="273">
        <f>IF(SUM(G100,G102)&gt;0,1,0)</f>
        <v/>
      </c>
      <c r="H99" s="273">
        <f>IF(SUM(H100,H102)&gt;0,1,0)</f>
        <v/>
      </c>
      <c r="I99" s="273">
        <f>IF(SUM(I100,I102)&gt;0,1,0)</f>
        <v/>
      </c>
      <c r="J99" s="273">
        <f>IF(SUM(J100,J102)&gt;0,1,0)</f>
        <v/>
      </c>
      <c r="K99" s="273">
        <f>IF(SUM(K100,K102)&gt;0,1,0)</f>
        <v/>
      </c>
      <c r="L99" s="273">
        <f>IF(SUM(L100,L102)&gt;0,1,0)</f>
        <v/>
      </c>
      <c r="M99" s="273">
        <f>IF(SUM(M100,M102)&gt;0,1,0)</f>
        <v/>
      </c>
      <c r="N99" s="273">
        <f>IF(SUM(N100,N102)&gt;0,1,0)</f>
        <v/>
      </c>
      <c r="O99" s="273">
        <f>IF(SUM(O100,O102)&gt;0,1,0)</f>
        <v/>
      </c>
      <c r="P99" s="273">
        <f>IF(SUM(P100,P102)&gt;0,1,0)</f>
        <v/>
      </c>
    </row>
    <row r="100" ht="14.4" customFormat="1" customHeight="1" s="150">
      <c r="A100" s="149" t="n"/>
      <c r="B100" s="149" t="n"/>
      <c r="C100" s="149" t="n"/>
      <c r="D100" s="150" t="inlineStr">
        <is>
          <t>نسبة توزيع تكلفة الأرض</t>
        </is>
      </c>
      <c r="E100" s="274">
        <f>SUM(F100:P100)</f>
        <v/>
      </c>
      <c r="F100" s="188" t="n">
        <v>1</v>
      </c>
      <c r="G100" s="188" t="n">
        <v>0</v>
      </c>
      <c r="H100" s="188" t="n">
        <v>0</v>
      </c>
      <c r="I100" s="188" t="n">
        <v>0</v>
      </c>
      <c r="J100" s="188" t="n">
        <v>0</v>
      </c>
      <c r="K100" s="188" t="n">
        <v>0</v>
      </c>
      <c r="L100" s="188" t="n">
        <v>0</v>
      </c>
      <c r="M100" s="188" t="n">
        <v>0</v>
      </c>
      <c r="N100" s="188" t="n">
        <v>0</v>
      </c>
      <c r="O100" s="188" t="n">
        <v>0</v>
      </c>
      <c r="P100" s="188" t="n">
        <v>0</v>
      </c>
    </row>
    <row r="101" ht="14.4" customFormat="1" customHeight="1" s="150">
      <c r="A101" s="149" t="n"/>
      <c r="B101" s="149" t="n"/>
      <c r="C101" s="149" t="n"/>
      <c r="D101" s="150" t="inlineStr">
        <is>
          <t>تكلفة الأرض</t>
        </is>
      </c>
      <c r="E101" s="215">
        <f>G38</f>
        <v/>
      </c>
      <c r="F101" s="151">
        <f>F100*-$E101</f>
        <v/>
      </c>
      <c r="G101" s="151">
        <f>G100*-$E101</f>
        <v/>
      </c>
      <c r="H101" s="151">
        <f>H100*-$E101</f>
        <v/>
      </c>
      <c r="I101" s="151">
        <f>I100*-$E101</f>
        <v/>
      </c>
      <c r="J101" s="151">
        <f>J100*-$E101</f>
        <v/>
      </c>
      <c r="K101" s="151">
        <f>K100*-$E101</f>
        <v/>
      </c>
      <c r="L101" s="151">
        <f>L100*-$E101</f>
        <v/>
      </c>
      <c r="M101" s="151">
        <f>M100*-$E101</f>
        <v/>
      </c>
      <c r="N101" s="151">
        <f>N100*-$E101</f>
        <v/>
      </c>
      <c r="O101" s="151">
        <f>O100*-$E101</f>
        <v/>
      </c>
      <c r="P101" s="151">
        <f>P100*-$E101</f>
        <v/>
      </c>
    </row>
    <row r="102" ht="14.4" customFormat="1" customHeight="1" s="150">
      <c r="A102" s="149" t="n"/>
      <c r="B102" s="149" t="n"/>
      <c r="C102" s="149" t="n"/>
      <c r="D102" s="150" t="inlineStr">
        <is>
          <t>نسبة تكاليف البناء و التطوير</t>
        </is>
      </c>
      <c r="E102" s="274">
        <f>SUM(F102:P102)</f>
        <v/>
      </c>
      <c r="F102" s="188" t="n">
        <v>0</v>
      </c>
      <c r="G102" s="188" t="n">
        <v>0.5</v>
      </c>
      <c r="H102" s="188" t="n">
        <v>0.5</v>
      </c>
      <c r="I102" s="188" t="n">
        <v>0</v>
      </c>
      <c r="J102" s="188" t="n">
        <v>0</v>
      </c>
      <c r="K102" s="188" t="n">
        <v>0</v>
      </c>
      <c r="L102" s="188" t="n">
        <v>0</v>
      </c>
      <c r="M102" s="188" t="n">
        <v>0</v>
      </c>
      <c r="N102" s="188" t="n">
        <v>0</v>
      </c>
      <c r="O102" s="188" t="n">
        <v>0</v>
      </c>
      <c r="P102" s="188" t="n">
        <v>0</v>
      </c>
    </row>
    <row r="103" ht="14.4" customFormat="1" customHeight="1" s="150">
      <c r="A103" s="149" t="n"/>
      <c r="B103" s="149" t="n"/>
      <c r="C103" s="149" t="n"/>
      <c r="D103" s="150" t="inlineStr">
        <is>
          <t>مبالغ تكاليف البناء و التطوير</t>
        </is>
      </c>
      <c r="E103" s="215">
        <f>G44+G49</f>
        <v/>
      </c>
      <c r="F103" s="151" t="n">
        <v>0</v>
      </c>
      <c r="G103" s="151">
        <f>G102*-$E103</f>
        <v/>
      </c>
      <c r="H103" s="151">
        <f>H102*-$E103</f>
        <v/>
      </c>
      <c r="I103" s="151">
        <f>I102*-$E103</f>
        <v/>
      </c>
      <c r="J103" s="151">
        <f>J102*-$E103</f>
        <v/>
      </c>
      <c r="K103" s="151">
        <f>K102*-$E103</f>
        <v/>
      </c>
      <c r="L103" s="151">
        <f>L102*-$E103</f>
        <v/>
      </c>
      <c r="M103" s="151">
        <f>M102*-$E103</f>
        <v/>
      </c>
      <c r="N103" s="151">
        <f>N102*-$E103</f>
        <v/>
      </c>
      <c r="O103" s="151">
        <f>O102*-$E103</f>
        <v/>
      </c>
      <c r="P103" s="151">
        <f>P102*-$E103</f>
        <v/>
      </c>
    </row>
    <row r="104" ht="14.4" customFormat="1" customHeight="1" s="150">
      <c r="A104" s="149" t="n"/>
      <c r="B104" s="149" t="n"/>
      <c r="C104" s="189" t="n"/>
      <c r="D104" s="275" t="inlineStr">
        <is>
          <t>اجمالي تكاليف التطوير</t>
        </is>
      </c>
      <c r="E104" s="276">
        <f>SUM(F104:P104)</f>
        <v/>
      </c>
      <c r="F104" s="277">
        <f>SUM(F101,F103)</f>
        <v/>
      </c>
      <c r="G104" s="277">
        <f>SUM(G101,G103)</f>
        <v/>
      </c>
      <c r="H104" s="277">
        <f>SUM(H101,H103)</f>
        <v/>
      </c>
      <c r="I104" s="277">
        <f>SUM(I101,I103)</f>
        <v/>
      </c>
      <c r="J104" s="277">
        <f>SUM(J101,J103)</f>
        <v/>
      </c>
      <c r="K104" s="277">
        <f>SUM(K101,K103)</f>
        <v/>
      </c>
      <c r="L104" s="277">
        <f>SUM(L101,L103)</f>
        <v/>
      </c>
      <c r="M104" s="277">
        <f>SUM(M101,M103)</f>
        <v/>
      </c>
      <c r="N104" s="277">
        <f>SUM(N101,N103)</f>
        <v/>
      </c>
      <c r="O104" s="277">
        <f>SUM(O101,O103)</f>
        <v/>
      </c>
      <c r="P104" s="277">
        <f>SUM(P101,P103)</f>
        <v/>
      </c>
    </row>
    <row r="105" ht="14.4" customFormat="1" customHeight="1" s="278">
      <c r="C105" s="279" t="n"/>
      <c r="D105" s="280" t="inlineStr">
        <is>
          <t>رصيد التكاليف التراكمي</t>
        </is>
      </c>
      <c r="E105" s="281">
        <f>MIN(F105:P105)</f>
        <v/>
      </c>
      <c r="F105" s="282">
        <f>F104</f>
        <v/>
      </c>
      <c r="G105" s="282">
        <f>G104+F105</f>
        <v/>
      </c>
      <c r="H105" s="282">
        <f>H104+G105</f>
        <v/>
      </c>
      <c r="I105" s="282">
        <f>I104+H105</f>
        <v/>
      </c>
      <c r="J105" s="282">
        <f>J104+I105</f>
        <v/>
      </c>
      <c r="K105" s="282">
        <f>K104+J105</f>
        <v/>
      </c>
      <c r="L105" s="282">
        <f>L104+K105</f>
        <v/>
      </c>
      <c r="M105" s="282">
        <f>M104+L105</f>
        <v/>
      </c>
      <c r="N105" s="282">
        <f>N104+M105</f>
        <v/>
      </c>
      <c r="O105" s="282">
        <f>O104+N105</f>
        <v/>
      </c>
      <c r="P105" s="282">
        <f>P104+O105</f>
        <v/>
      </c>
      <c r="Q105" s="150" t="n"/>
      <c r="R105" s="150" t="n"/>
      <c r="S105" s="150" t="n"/>
      <c r="T105" s="150" t="n"/>
      <c r="U105" s="150" t="n"/>
      <c r="V105" s="150" t="n"/>
      <c r="W105" s="150" t="n"/>
      <c r="X105" s="150" t="n"/>
      <c r="Y105" s="150" t="n"/>
      <c r="Z105" s="150" t="n"/>
    </row>
    <row r="106" ht="14.4" customFormat="1" customHeight="1" s="150">
      <c r="A106" s="149" t="n"/>
      <c r="B106" s="149" t="n"/>
      <c r="C106" s="185" t="inlineStr">
        <is>
          <t>رسوم الشركة المالية ( الحفظ و الإدارة )</t>
        </is>
      </c>
      <c r="D106" s="186" t="n"/>
      <c r="E106" s="269" t="n"/>
      <c r="F106" s="186" t="n">
        <v>0</v>
      </c>
      <c r="G106" s="186" t="n">
        <v>1</v>
      </c>
      <c r="H106" s="186">
        <f>G106+1</f>
        <v/>
      </c>
      <c r="I106" s="186">
        <f>H106+1</f>
        <v/>
      </c>
      <c r="J106" s="186">
        <f>I106+1</f>
        <v/>
      </c>
      <c r="K106" s="186">
        <f>J106+1</f>
        <v/>
      </c>
      <c r="L106" s="186">
        <f>K106+1</f>
        <v/>
      </c>
      <c r="M106" s="186">
        <f>L106+1</f>
        <v/>
      </c>
      <c r="N106" s="186">
        <f>M106+1</f>
        <v/>
      </c>
      <c r="O106" s="186">
        <f>N106+1</f>
        <v/>
      </c>
      <c r="P106" s="186">
        <f>O106+1</f>
        <v/>
      </c>
    </row>
    <row r="107" ht="14.4" customFormat="1" customHeight="1" s="150">
      <c r="A107" s="149" t="n"/>
      <c r="B107" s="149" t="n"/>
      <c r="C107" s="149" t="n"/>
      <c r="D107" s="150" t="inlineStr">
        <is>
          <t>هل يوجد صندوق ؟ ( نعم =1/ لا=0)</t>
        </is>
      </c>
      <c r="E107" s="283" t="n">
        <v>1</v>
      </c>
      <c r="F107" s="151" t="n"/>
      <c r="G107" s="151" t="n"/>
      <c r="H107" s="151" t="n"/>
      <c r="I107" s="151" t="n"/>
      <c r="J107" s="151" t="n"/>
      <c r="K107" s="151" t="n"/>
      <c r="L107" s="151" t="n"/>
      <c r="M107" s="151" t="n"/>
      <c r="N107" s="151" t="n"/>
      <c r="O107" s="151" t="n"/>
      <c r="P107" s="151" t="n"/>
    </row>
    <row r="108" ht="14.4" customFormat="1" customHeight="1" s="150">
      <c r="A108" s="149" t="n"/>
      <c r="B108" s="149" t="n"/>
      <c r="C108" s="149" t="n"/>
      <c r="D108" s="284" t="inlineStr">
        <is>
          <t>تأسيس الصندوق</t>
        </is>
      </c>
      <c r="E108" s="285" t="n">
        <v>0</v>
      </c>
      <c r="F108" s="286">
        <f>-E108</f>
        <v/>
      </c>
      <c r="H108" s="151" t="n"/>
      <c r="I108" s="151" t="n"/>
      <c r="J108" s="151" t="n"/>
      <c r="K108" s="151" t="n"/>
      <c r="L108" s="151" t="n"/>
      <c r="M108" s="151" t="n"/>
      <c r="N108" s="151" t="n"/>
      <c r="O108" s="151" t="n"/>
      <c r="P108" s="151" t="n"/>
    </row>
    <row r="109" ht="14.4" customFormat="1" customHeight="1" s="150">
      <c r="A109" s="149" t="n"/>
      <c r="B109" s="149" t="n"/>
      <c r="C109" s="149" t="n"/>
      <c r="D109" s="284" t="inlineStr">
        <is>
          <t>كنسبة من راس المال المستثمر</t>
        </is>
      </c>
      <c r="E109" s="285" t="n">
        <v>0</v>
      </c>
      <c r="F109" s="151" t="n"/>
      <c r="G109" s="151" t="n">
        <v>0</v>
      </c>
      <c r="H109" s="151" t="n">
        <v>0</v>
      </c>
      <c r="I109" s="151" t="n">
        <v>0</v>
      </c>
      <c r="J109" s="151" t="n">
        <v>0</v>
      </c>
      <c r="K109" s="151" t="n">
        <v>0</v>
      </c>
      <c r="L109" s="151" t="n">
        <v>0</v>
      </c>
      <c r="M109" s="151" t="n">
        <v>0</v>
      </c>
      <c r="N109" s="151" t="n">
        <v>0</v>
      </c>
      <c r="O109" s="151" t="n">
        <v>0</v>
      </c>
      <c r="P109" s="151" t="n">
        <v>0</v>
      </c>
    </row>
    <row r="110" ht="14.4" customFormat="1" customHeight="1" s="150">
      <c r="A110" s="149" t="n"/>
      <c r="B110" s="149" t="n"/>
      <c r="C110" s="189" t="n"/>
      <c r="D110" s="275" t="inlineStr">
        <is>
          <t>رسوم الشركة المالية</t>
        </is>
      </c>
      <c r="E110" s="276" t="n"/>
      <c r="F110" s="277">
        <f>SUM(F107:F109)</f>
        <v/>
      </c>
      <c r="G110" s="277">
        <f>SUM(G107:G109)</f>
        <v/>
      </c>
      <c r="H110" s="277">
        <f>SUM(H107:H109)</f>
        <v/>
      </c>
      <c r="I110" s="277">
        <f>SUM(I107:I109)</f>
        <v/>
      </c>
      <c r="J110" s="277">
        <f>SUM(J107:J109)</f>
        <v/>
      </c>
      <c r="K110" s="277">
        <f>SUM(K107:K109)</f>
        <v/>
      </c>
      <c r="L110" s="277">
        <f>SUM(L107:L109)</f>
        <v/>
      </c>
      <c r="M110" s="277">
        <f>SUM(M107:M109)</f>
        <v/>
      </c>
      <c r="N110" s="277">
        <f>SUM(N107:N109)</f>
        <v/>
      </c>
      <c r="O110" s="277">
        <f>SUM(O107:O109)</f>
        <v/>
      </c>
      <c r="P110" s="277">
        <f>SUM(P107:P109)</f>
        <v/>
      </c>
    </row>
    <row r="111" ht="14.4" customFormat="1" customHeight="1" s="150">
      <c r="A111" s="149" t="n"/>
      <c r="B111" s="149" t="n"/>
      <c r="C111" s="185" t="inlineStr">
        <is>
          <t>التمويل البنكي</t>
        </is>
      </c>
      <c r="D111" s="186" t="n"/>
      <c r="E111" s="269" t="n"/>
      <c r="F111" s="186" t="n">
        <v>0</v>
      </c>
      <c r="G111" s="186" t="n">
        <v>1</v>
      </c>
      <c r="H111" s="186">
        <f>G111+1</f>
        <v/>
      </c>
      <c r="I111" s="186">
        <f>H111+1</f>
        <v/>
      </c>
      <c r="J111" s="186">
        <f>I111+1</f>
        <v/>
      </c>
      <c r="K111" s="186">
        <f>J111+1</f>
        <v/>
      </c>
      <c r="L111" s="186">
        <f>K111+1</f>
        <v/>
      </c>
      <c r="M111" s="186">
        <f>L111+1</f>
        <v/>
      </c>
      <c r="N111" s="186">
        <f>M111+1</f>
        <v/>
      </c>
      <c r="O111" s="186">
        <f>N111+1</f>
        <v/>
      </c>
      <c r="P111" s="186">
        <f>O111+1</f>
        <v/>
      </c>
    </row>
    <row r="112" ht="14.4" customFormat="1" customHeight="1" s="150">
      <c r="A112" s="149" t="n"/>
      <c r="B112" s="149" t="n"/>
      <c r="C112" s="149" t="n"/>
      <c r="D112" s="150" t="inlineStr">
        <is>
          <t>سحب</t>
        </is>
      </c>
      <c r="E112" s="215">
        <f>SUM(F112:P112)</f>
        <v/>
      </c>
      <c r="F112" s="151">
        <f>F63</f>
        <v/>
      </c>
      <c r="G112" s="151">
        <f>G63</f>
        <v/>
      </c>
      <c r="H112" s="151">
        <f>H63</f>
        <v/>
      </c>
      <c r="I112" s="151">
        <f>I63</f>
        <v/>
      </c>
      <c r="J112" s="151">
        <f>J63</f>
        <v/>
      </c>
      <c r="K112" s="151">
        <f>K63</f>
        <v/>
      </c>
      <c r="L112" s="151">
        <f>L63</f>
        <v/>
      </c>
      <c r="M112" s="151">
        <f>M63</f>
        <v/>
      </c>
      <c r="N112" s="151">
        <f>N63</f>
        <v/>
      </c>
      <c r="O112" s="151">
        <f>O63</f>
        <v/>
      </c>
      <c r="P112" s="151">
        <f>P63</f>
        <v/>
      </c>
    </row>
    <row r="113" ht="14.4" customFormat="1" customHeight="1" s="150">
      <c r="A113" s="149" t="n"/>
      <c r="B113" s="149" t="n"/>
      <c r="C113" s="149" t="n"/>
      <c r="D113" s="150" t="inlineStr">
        <is>
          <t>رسوم تمويل (عمولة الوكالة على كل سحبة)</t>
        </is>
      </c>
      <c r="E113" s="287" t="n">
        <v>0.0005</v>
      </c>
      <c r="F113" s="286">
        <f>-$E$113*F112</f>
        <v/>
      </c>
      <c r="G113" s="286">
        <f>-$E$113*G112</f>
        <v/>
      </c>
      <c r="H113" s="286">
        <f>-$E$113*H112</f>
        <v/>
      </c>
      <c r="I113" s="151">
        <f>-$E$113*I112</f>
        <v/>
      </c>
      <c r="J113" s="151">
        <f>-$E$113*J112</f>
        <v/>
      </c>
      <c r="K113" s="151">
        <f>-$E$113*K112</f>
        <v/>
      </c>
      <c r="L113" s="151">
        <f>-$E$113*L112</f>
        <v/>
      </c>
      <c r="M113" s="151">
        <f>-$E$113*M112</f>
        <v/>
      </c>
      <c r="N113" s="151">
        <f>-$E$113*N112</f>
        <v/>
      </c>
      <c r="O113" s="151">
        <f>-$E$113*O112</f>
        <v/>
      </c>
      <c r="P113" s="151">
        <f>-$E$113*P112</f>
        <v/>
      </c>
    </row>
    <row r="114" ht="14.4" customFormat="1" customHeight="1" s="150">
      <c r="A114" s="149" t="n"/>
      <c r="B114" s="149" t="n"/>
      <c r="C114" s="149" t="n"/>
      <c r="D114" s="150" t="inlineStr">
        <is>
          <t xml:space="preserve">سداد </t>
        </is>
      </c>
      <c r="E114" s="215">
        <f>SUM(F114:P114)=-E112</f>
        <v/>
      </c>
      <c r="F114" s="151">
        <f>F64</f>
        <v/>
      </c>
      <c r="G114" s="151">
        <f>G64</f>
        <v/>
      </c>
      <c r="H114" s="151">
        <f>H64</f>
        <v/>
      </c>
      <c r="I114" s="151">
        <f>I64</f>
        <v/>
      </c>
      <c r="J114" s="151">
        <f>J64</f>
        <v/>
      </c>
      <c r="K114" s="151">
        <f>K64</f>
        <v/>
      </c>
      <c r="L114" s="151">
        <f>L64</f>
        <v/>
      </c>
      <c r="M114" s="151">
        <f>M64</f>
        <v/>
      </c>
      <c r="N114" s="151">
        <f>N64</f>
        <v/>
      </c>
      <c r="O114" s="151">
        <f>O64</f>
        <v/>
      </c>
      <c r="P114" s="151">
        <f>P64</f>
        <v/>
      </c>
    </row>
    <row r="115" ht="14.4" customFormat="1" customHeight="1" s="150">
      <c r="A115" s="149" t="n"/>
      <c r="B115" s="149" t="n"/>
      <c r="C115" s="149" t="n"/>
      <c r="D115" s="150" t="inlineStr">
        <is>
          <t>مرابحة</t>
        </is>
      </c>
      <c r="E115" s="215">
        <f>SUM(F115:P115)</f>
        <v/>
      </c>
      <c r="F115" s="151">
        <f>F66</f>
        <v/>
      </c>
      <c r="G115" s="151">
        <f>G66</f>
        <v/>
      </c>
      <c r="H115" s="151">
        <f>H66</f>
        <v/>
      </c>
      <c r="I115" s="151">
        <f>I66</f>
        <v/>
      </c>
      <c r="J115" s="151">
        <f>J66</f>
        <v/>
      </c>
      <c r="K115" s="151">
        <f>K66</f>
        <v/>
      </c>
      <c r="L115" s="151">
        <f>L66</f>
        <v/>
      </c>
      <c r="M115" s="151">
        <f>M66</f>
        <v/>
      </c>
      <c r="N115" s="151">
        <f>N66</f>
        <v/>
      </c>
      <c r="O115" s="151">
        <f>O66</f>
        <v/>
      </c>
      <c r="P115" s="151">
        <f>P66</f>
        <v/>
      </c>
    </row>
    <row r="116" ht="14.4" customFormat="1" customHeight="1" s="150">
      <c r="A116" s="149" t="n"/>
      <c r="B116" s="149" t="n"/>
      <c r="C116" s="189" t="n"/>
      <c r="D116" s="189" t="inlineStr">
        <is>
          <t>صافي الحركة البنكية</t>
        </is>
      </c>
      <c r="E116" s="288" t="n"/>
      <c r="F116" s="190">
        <f>SUM(F112:F115)</f>
        <v/>
      </c>
      <c r="G116" s="190">
        <f>SUM(G112:G115)</f>
        <v/>
      </c>
      <c r="H116" s="190">
        <f>SUM(H112:H115)</f>
        <v/>
      </c>
      <c r="I116" s="190">
        <f>SUM(I112:I115)</f>
        <v/>
      </c>
      <c r="J116" s="190">
        <f>SUM(J112:J115)</f>
        <v/>
      </c>
      <c r="K116" s="190">
        <f>SUM(K112:K115)</f>
        <v/>
      </c>
      <c r="L116" s="190">
        <f>SUM(L112:L115)</f>
        <v/>
      </c>
      <c r="M116" s="190">
        <f>SUM(M112:M115)</f>
        <v/>
      </c>
      <c r="N116" s="190">
        <f>SUM(N112:N115)</f>
        <v/>
      </c>
      <c r="O116" s="190">
        <f>SUM(O112:O115)</f>
        <v/>
      </c>
      <c r="P116" s="190">
        <f>SUM(P112:P115)</f>
        <v/>
      </c>
    </row>
    <row r="117" ht="14.4" customFormat="1" customHeight="1" s="150">
      <c r="A117" s="149" t="n"/>
      <c r="B117" s="149" t="n"/>
      <c r="C117" s="289" t="inlineStr">
        <is>
          <t>صافي التدفق النقدي قبل رسوم الأداء</t>
        </is>
      </c>
      <c r="D117" s="290" t="n"/>
      <c r="E117" s="291">
        <f>SUM(F117:P117)</f>
        <v/>
      </c>
      <c r="F117" s="290">
        <f>SUM(F96,F104,F116,F110)</f>
        <v/>
      </c>
      <c r="G117" s="290">
        <f>SUM(G96,G104,G116,G110)</f>
        <v/>
      </c>
      <c r="H117" s="290">
        <f>SUM(H96,H104,H116,H110)</f>
        <v/>
      </c>
      <c r="I117" s="290">
        <f>SUM(I96,I104,I116,I110)</f>
        <v/>
      </c>
      <c r="J117" s="290">
        <f>SUM(J96,J104,J116,J110)</f>
        <v/>
      </c>
      <c r="K117" s="290">
        <f>SUM(K96,K104,K116,K110)</f>
        <v/>
      </c>
      <c r="L117" s="290">
        <f>SUM(L96,L104,L116,L110)</f>
        <v/>
      </c>
      <c r="M117" s="290">
        <f>SUM(M96,M104,M116,M110)</f>
        <v/>
      </c>
      <c r="N117" s="290">
        <f>SUM(N96,N104,N116,N110)</f>
        <v/>
      </c>
      <c r="O117" s="290">
        <f>SUM(O96,O104,O116,O110)</f>
        <v/>
      </c>
      <c r="P117" s="290">
        <f>SUM(P96,P104,P116,P110)</f>
        <v/>
      </c>
    </row>
    <row r="118" ht="14.4" customFormat="1" customHeight="1" s="150">
      <c r="A118" s="149" t="n"/>
      <c r="B118" s="149" t="n"/>
      <c r="C118" s="292" t="n"/>
      <c r="D118" s="292" t="inlineStr">
        <is>
          <t>هامش الربح  - ROI</t>
        </is>
      </c>
      <c r="E118" s="293">
        <f>E117/(G38+E57)</f>
        <v/>
      </c>
    </row>
    <row r="119" ht="14.4" customFormat="1" customHeight="1" s="150">
      <c r="A119" s="149" t="n"/>
      <c r="B119" s="149" t="n"/>
      <c r="C119" s="294" t="n"/>
      <c r="D119" s="294" t="inlineStr">
        <is>
          <t>عدد سنوات المشروع</t>
        </is>
      </c>
      <c r="E119" s="295">
        <f>14/12</f>
        <v/>
      </c>
      <c r="F119" s="151" t="n"/>
      <c r="G119" s="131" t="n"/>
      <c r="H119" s="88" t="n"/>
      <c r="I119" s="151" t="n"/>
      <c r="J119" s="151" t="n"/>
      <c r="K119" s="151" t="n"/>
      <c r="L119" s="151" t="n"/>
      <c r="M119" s="188" t="n"/>
      <c r="N119" s="188" t="n"/>
      <c r="O119" s="188" t="n"/>
      <c r="P119" s="188" t="n"/>
    </row>
    <row r="120" ht="14.4" customFormat="1" customHeight="1" s="150">
      <c r="A120" s="149" t="n"/>
      <c r="B120" s="149" t="n"/>
      <c r="C120" s="292" t="n"/>
      <c r="D120" s="292" t="inlineStr">
        <is>
          <t>هامش الربح السنوي - ROI</t>
        </is>
      </c>
      <c r="E120" s="293">
        <f>E118/E119</f>
        <v/>
      </c>
      <c r="F120" s="199" t="n"/>
      <c r="G120" s="151" t="n"/>
      <c r="H120" s="151" t="n"/>
      <c r="I120" s="296" t="n"/>
      <c r="J120" s="296" t="n"/>
      <c r="K120" s="296" t="n"/>
      <c r="L120" s="151" t="n"/>
      <c r="M120" s="188" t="n"/>
      <c r="N120" s="188" t="n"/>
      <c r="O120" s="188" t="n"/>
      <c r="P120" s="188" t="n"/>
    </row>
    <row r="121" ht="14.4" customHeight="1">
      <c r="E121" s="297">
        <f>IRR(F117:P117)</f>
        <v/>
      </c>
    </row>
    <row r="125" ht="14.4" customHeight="1">
      <c r="E125" s="131" t="n"/>
    </row>
  </sheetData>
  <conditionalFormatting sqref="E100">
    <cfRule type="cellIs" priority="13" operator="notEqual" dxfId="2">
      <formula>1</formula>
    </cfRule>
  </conditionalFormatting>
  <conditionalFormatting sqref="E102">
    <cfRule type="cellIs" priority="14" operator="notEqual" dxfId="2">
      <formula>1</formula>
    </cfRule>
  </conditionalFormatting>
  <conditionalFormatting sqref="E117:P117">
    <cfRule type="cellIs" priority="17" operator="lessThan" dxfId="0">
      <formula>0</formula>
    </cfRule>
  </conditionalFormatting>
  <conditionalFormatting sqref="E75">
    <cfRule type="cellIs" priority="3" operator="notEqual" dxfId="0">
      <formula>1</formula>
    </cfRule>
  </conditionalFormatting>
  <dataValidations disablePrompts="1" count="1">
    <dataValidation sqref="E107" showDropDown="0" showInputMessage="1" showErrorMessage="1" allowBlank="1" type="list">
      <formula1>"1,0"</formula1>
    </dataValidation>
  </dataValidations>
  <pageMargins left="0.7" right="0.7" top="0.75" bottom="0.75" header="0.3" footer="0.3"/>
  <pageSetup orientation="portrait" paperSize="9"/>
  <legacyDrawing xmlns:r="http://schemas.openxmlformats.org/officeDocument/2006/relationships" r:id="anysvml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0A81A300-93CD-44FC-AA6D-C693097577A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E82</xm:sqref>
        </x14:conditionalFormatting>
        <x14:conditionalFormatting xmlns:xm="http://schemas.microsoft.com/office/excel/2006/main">
          <x14:cfRule type="iconSet" priority="5" id="{3D92D5B6-713C-4FE8-A2A8-C56AA65C821A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Symbols2" iconId="0"/>
              <x14:cfIcon iconSet="3Symbols2" iconId="2"/>
            </x14:iconSet>
          </x14:cfRule>
          <xm:sqref>F96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13"/>
  <sheetViews>
    <sheetView zoomScale="208" workbookViewId="0">
      <selection activeCell="B12" sqref="B12"/>
    </sheetView>
  </sheetViews>
  <sheetFormatPr baseColWidth="8" defaultColWidth="11.44140625" defaultRowHeight="14.4"/>
  <cols>
    <col width="13.44140625" bestFit="1" customWidth="1" min="1" max="1"/>
    <col width="14" bestFit="1" customWidth="1" min="2" max="2"/>
    <col width="17.33203125" bestFit="1" customWidth="1" min="3" max="3"/>
    <col width="12.6640625" bestFit="1" customWidth="1" min="4" max="7"/>
  </cols>
  <sheetData>
    <row r="1">
      <c r="A1" s="135" t="inlineStr">
        <is>
          <t>المساهمين</t>
        </is>
      </c>
      <c r="B1" s="136" t="inlineStr">
        <is>
          <t xml:space="preserve">المبلغ </t>
        </is>
      </c>
      <c r="C1" s="136" t="inlineStr">
        <is>
          <t xml:space="preserve">تاريخ بداية الاستثمار </t>
        </is>
      </c>
    </row>
    <row r="2">
      <c r="A2" s="137" t="inlineStr">
        <is>
          <t>بدر بن ناصر</t>
        </is>
      </c>
      <c r="B2" s="298" t="n">
        <v>2500000</v>
      </c>
      <c r="C2" s="139" t="n">
        <v>45859</v>
      </c>
      <c r="D2" s="146">
        <f>B2/$B$7</f>
        <v/>
      </c>
      <c r="E2" s="299">
        <f>D2*$B$8</f>
        <v/>
      </c>
    </row>
    <row r="3">
      <c r="A3" s="137" t="inlineStr">
        <is>
          <t>ثواب بن مسلط</t>
        </is>
      </c>
      <c r="B3" s="298" t="n">
        <v>2000000</v>
      </c>
      <c r="C3" s="139" t="n">
        <v>45859</v>
      </c>
      <c r="D3" s="146">
        <f>B3/$B$7</f>
        <v/>
      </c>
      <c r="E3" s="299">
        <f>D3*$B$8</f>
        <v/>
      </c>
    </row>
    <row r="4">
      <c r="A4" s="137" t="inlineStr">
        <is>
          <t xml:space="preserve">شركة خمسة وثلاثون </t>
        </is>
      </c>
      <c r="B4" s="298" t="n">
        <v>5000000</v>
      </c>
      <c r="C4" s="139" t="n">
        <v>45860</v>
      </c>
      <c r="D4" s="146">
        <f>B4/$B$7</f>
        <v/>
      </c>
      <c r="E4" s="299">
        <f>D4*$B$8</f>
        <v/>
      </c>
      <c r="F4" s="145">
        <f>B4*20%</f>
        <v/>
      </c>
      <c r="G4" s="145">
        <f>E4-F4</f>
        <v/>
      </c>
    </row>
    <row r="5">
      <c r="A5" s="137" t="inlineStr">
        <is>
          <t>عبد الرحمن الجبرين</t>
        </is>
      </c>
      <c r="B5" s="298" t="n">
        <v>820000</v>
      </c>
      <c r="C5" s="139" t="n">
        <v>45861</v>
      </c>
      <c r="D5" s="146">
        <f>B5/$B$7</f>
        <v/>
      </c>
      <c r="E5" s="299">
        <f>D5*$B$8</f>
        <v/>
      </c>
    </row>
    <row r="6">
      <c r="A6" s="140" t="n"/>
      <c r="B6" s="300" t="n"/>
      <c r="C6" s="300" t="n"/>
    </row>
    <row r="7" ht="16.2" customHeight="1" thickBot="1">
      <c r="A7" s="142" t="inlineStr">
        <is>
          <t>الإجمالي</t>
        </is>
      </c>
      <c r="B7" s="143">
        <f>SUM(B2:B6)</f>
        <v/>
      </c>
      <c r="C7" s="300" t="n"/>
    </row>
    <row r="8" ht="15" customHeight="1" thickTop="1">
      <c r="B8">
        <f>'الشقق السكنية'!#REF!</f>
        <v/>
      </c>
    </row>
    <row r="9">
      <c r="B9" s="146">
        <f>B8/B7</f>
        <v/>
      </c>
    </row>
    <row r="10">
      <c r="C10" s="139" t="n">
        <v>46514</v>
      </c>
    </row>
    <row r="11">
      <c r="B11" s="145">
        <f>B7-B4</f>
        <v/>
      </c>
    </row>
    <row r="12">
      <c r="C12">
        <f>C10-C2</f>
        <v/>
      </c>
    </row>
    <row r="13">
      <c r="C13">
        <f>C12/365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Hossam-Eldin Badry</dc:creator>
  <dcterms:created xmlns:dcterms="http://purl.org/dc/terms/" xmlns:xsi="http://www.w3.org/2001/XMLSchema-instance" xsi:type="dcterms:W3CDTF">2015-06-05T18:17:20Z</dcterms:created>
  <dcterms:modified xmlns:dcterms="http://purl.org/dc/terms/" xmlns:xsi="http://www.w3.org/2001/XMLSchema-instance" xsi:type="dcterms:W3CDTF">2026-10-15T13:42:39Z</dcterms:modified>
  <cp:lastModifiedBy>Wagdy Mahmoud Elsayed</cp:lastModifiedBy>
</cp:coreProperties>
</file>