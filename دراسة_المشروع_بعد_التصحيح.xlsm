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93" firstSheet="0" activeTab="0" autoFilterDateGrouping="1"/>
  </bookViews>
  <sheets>
    <sheet xmlns:r="http://schemas.openxmlformats.org/officeDocument/2006/relationships" name="الشقق السكنية" sheetId="1" state="visible" r:id="rId1"/>
  </sheets>
  <definedNames/>
  <calcPr calcId="191029" fullCalcOnLoad="1" iterateDelta="0.0001"/>
</workbook>
</file>

<file path=xl/styles.xml><?xml version="1.0" encoding="utf-8"?>
<styleSheet xmlns="http://schemas.openxmlformats.org/spreadsheetml/2006/main">
  <numFmts count="12">
    <numFmt numFmtId="164" formatCode="#,##0;\(#,##0\);\-"/>
    <numFmt numFmtId="165" formatCode="0.0%;\(0.0%\);\-"/>
    <numFmt numFmtId="166" formatCode="#,##0.0;\(#,##0.0\);\-"/>
    <numFmt numFmtId="167" formatCode="#,##0_);\(#,##0\);\-"/>
    <numFmt numFmtId="168" formatCode="#,##0.00_);\(#,##0.00\);\-"/>
    <numFmt numFmtId="169" formatCode="0.00%;\(0.00%\);\-"/>
    <numFmt numFmtId="170" formatCode="0.0%"/>
    <numFmt numFmtId="171" formatCode="0%;\(0%\);\-"/>
    <numFmt numFmtId="172" formatCode="_-* #,##0.00_-;\-* #,##0.00_-;_-* &quot;-&quot;??_-;_-@_-"/>
    <numFmt numFmtId="173" formatCode="dd/mm/yyyy"/>
    <numFmt numFmtId="174" formatCode="#,##0.00;\(#,##0.00\);\-"/>
    <numFmt numFmtId="175" formatCode="yyyy-mm-dd"/>
  </numFmts>
  <fonts count="2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</font>
    <font>
      <name val="Calibri"/>
      <family val="2"/>
      <b val="1"/>
      <color theme="1"/>
      <sz val="11"/>
    </font>
    <font>
      <name val="Calibri"/>
      <family val="2"/>
      <sz val="11"/>
    </font>
    <font>
      <name val="Calibri"/>
      <family val="2"/>
      <color rgb="FF0070C0"/>
      <sz val="11"/>
      <scheme val="minor"/>
    </font>
    <font>
      <name val="Calibri"/>
      <family val="2"/>
      <color rgb="FF0070C0"/>
      <sz val="11"/>
    </font>
    <font>
      <name val="Calibri"/>
      <family val="2"/>
      <color theme="1"/>
      <sz val="11"/>
    </font>
    <font>
      <name val="Calibri"/>
      <family val="2"/>
      <b val="1"/>
      <color rgb="FF0070C0"/>
      <sz val="11"/>
      <scheme val="minor"/>
    </font>
    <font>
      <name val="Calibri"/>
      <family val="2"/>
      <b val="1"/>
      <color theme="0"/>
      <sz val="11"/>
    </font>
    <font>
      <name val="Calibri"/>
      <family val="2"/>
      <color theme="0"/>
      <sz val="11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Calibri"/>
      <family val="2"/>
      <b val="1"/>
      <color rgb="FF0070C0"/>
      <sz val="11"/>
    </font>
    <font>
      <name val="Calibri"/>
      <family val="2"/>
      <color theme="1" tint="0.499984740745262"/>
      <sz val="11"/>
    </font>
    <font>
      <name val="Calibri"/>
      <family val="2"/>
      <color theme="0" tint="-0.499984740745262"/>
      <sz val="11"/>
    </font>
    <font>
      <name val="Calibri"/>
      <family val="2"/>
      <b val="1"/>
      <color theme="0" tint="-0.499984740745262"/>
      <sz val="11"/>
    </font>
    <font>
      <name val="Calibri"/>
      <b val="1"/>
      <sz val="11"/>
    </font>
    <font>
      <name val="Calibri"/>
      <sz val="11"/>
    </font>
    <font>
      <name val="Calibri"/>
      <color rgb="FF0070C0"/>
      <sz val="11"/>
    </font>
  </fonts>
  <fills count="18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darkDown"/>
    </fill>
    <fill>
      <patternFill patternType="solid">
        <fgColor theme="8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darkDown">
        <bgColor theme="0" tint="-0.049989318521683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FFCC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rgb="FFBFBFBF"/>
      </left>
      <right style="dashed">
        <color rgb="FFBFBFBF"/>
      </right>
      <top style="dashed">
        <color rgb="FFBFBFBF"/>
      </top>
      <bottom style="dashed">
        <color rgb="FFBFBFBF"/>
      </bottom>
      <diagonal/>
    </border>
  </borders>
  <cellStyleXfs count="4">
    <xf numFmtId="0" fontId="1" fillId="0" borderId="0"/>
    <xf numFmtId="0" fontId="1" fillId="0" borderId="0"/>
    <xf numFmtId="9" fontId="1" fillId="0" borderId="0"/>
    <xf numFmtId="172" fontId="1" fillId="0" borderId="0"/>
  </cellStyleXfs>
  <cellXfs count="175">
    <xf numFmtId="0" fontId="0" fillId="0" borderId="0" pivotButton="0" quotePrefix="0" xfId="0"/>
    <xf numFmtId="164" fontId="5" fillId="0" borderId="3" applyAlignment="1" pivotButton="0" quotePrefix="0" xfId="1">
      <alignment horizontal="right" vertical="center"/>
    </xf>
    <xf numFmtId="164" fontId="6" fillId="0" borderId="3" applyAlignment="1" pivotButton="0" quotePrefix="0" xfId="1">
      <alignment horizontal="right" vertical="center"/>
    </xf>
    <xf numFmtId="164" fontId="5" fillId="0" borderId="5" applyAlignment="1" pivotButton="0" quotePrefix="0" xfId="1">
      <alignment horizontal="center" vertical="center"/>
    </xf>
    <xf numFmtId="165" fontId="7" fillId="8" borderId="3" applyAlignment="1" pivotButton="0" quotePrefix="0" xfId="0">
      <alignment horizontal="center" vertical="center"/>
    </xf>
    <xf numFmtId="165" fontId="8" fillId="0" borderId="3" applyAlignment="1" pivotButton="0" quotePrefix="0" xfId="1">
      <alignment horizontal="center" vertical="center"/>
    </xf>
    <xf numFmtId="164" fontId="5" fillId="0" borderId="0" applyAlignment="1" pivotButton="0" quotePrefix="0" xfId="1">
      <alignment horizontal="right" vertical="center"/>
    </xf>
    <xf numFmtId="164" fontId="6" fillId="0" borderId="0" applyAlignment="1" pivotButton="0" quotePrefix="0" xfId="1">
      <alignment horizontal="right" vertical="center"/>
    </xf>
    <xf numFmtId="164" fontId="6" fillId="0" borderId="6" applyAlignment="1" pivotButton="0" quotePrefix="0" xfId="1">
      <alignment horizontal="center" vertical="center"/>
    </xf>
    <xf numFmtId="165" fontId="7" fillId="8" borderId="0" applyAlignment="1" pivotButton="0" quotePrefix="0" xfId="0">
      <alignment horizontal="center" vertical="center"/>
    </xf>
    <xf numFmtId="164" fontId="9" fillId="0" borderId="0" applyAlignment="1" pivotButton="0" quotePrefix="0" xfId="1">
      <alignment horizontal="center" vertical="center"/>
    </xf>
    <xf numFmtId="164" fontId="6" fillId="0" borderId="0" applyAlignment="1" pivotButton="0" quotePrefix="0" xfId="1">
      <alignment horizontal="center" vertical="center"/>
    </xf>
    <xf numFmtId="164" fontId="5" fillId="2" borderId="1" applyAlignment="1" pivotButton="0" quotePrefix="0" xfId="1">
      <alignment horizontal="right" vertical="center"/>
    </xf>
    <xf numFmtId="164" fontId="4" fillId="2" borderId="1" applyAlignment="1" pivotButton="0" quotePrefix="0" xfId="1">
      <alignment horizontal="right" vertical="center"/>
    </xf>
    <xf numFmtId="164" fontId="4" fillId="2" borderId="4" applyAlignment="1" pivotButton="0" quotePrefix="0" xfId="1">
      <alignment horizontal="center" vertical="center"/>
    </xf>
    <xf numFmtId="165" fontId="10" fillId="12" borderId="1" applyAlignment="1" pivotButton="0" quotePrefix="0" xfId="0">
      <alignment horizontal="center" vertical="center"/>
    </xf>
    <xf numFmtId="164" fontId="4" fillId="2" borderId="1" applyAlignment="1" pivotButton="0" quotePrefix="0" xfId="1">
      <alignment horizontal="center" vertical="center"/>
    </xf>
    <xf numFmtId="164" fontId="6" fillId="0" borderId="1" applyAlignment="1" pivotButton="0" quotePrefix="0" xfId="1">
      <alignment horizontal="right" vertical="center"/>
    </xf>
    <xf numFmtId="164" fontId="5" fillId="0" borderId="4" applyAlignment="1" pivotButton="0" quotePrefix="0" xfId="1">
      <alignment horizontal="center" vertical="center"/>
    </xf>
    <xf numFmtId="165" fontId="9" fillId="8" borderId="1" applyAlignment="1" pivotButton="0" quotePrefix="0" xfId="1">
      <alignment horizontal="center" vertical="center"/>
    </xf>
    <xf numFmtId="165" fontId="8" fillId="0" borderId="1" applyAlignment="1" pivotButton="0" quotePrefix="0" xfId="1">
      <alignment horizontal="center" vertical="center"/>
    </xf>
    <xf numFmtId="166" fontId="6" fillId="0" borderId="0" applyAlignment="1" pivotButton="0" quotePrefix="0" xfId="1">
      <alignment horizontal="right" vertical="center"/>
    </xf>
    <xf numFmtId="164" fontId="6" fillId="8" borderId="0" applyAlignment="1" pivotButton="0" quotePrefix="0" xfId="1">
      <alignment horizontal="center" vertical="center"/>
    </xf>
    <xf numFmtId="164" fontId="11" fillId="3" borderId="0" applyAlignment="1" pivotButton="0" quotePrefix="0" xfId="1">
      <alignment horizontal="right" vertical="center"/>
    </xf>
    <xf numFmtId="164" fontId="12" fillId="3" borderId="0" applyAlignment="1" pivotButton="0" quotePrefix="0" xfId="1">
      <alignment horizontal="right" vertical="center"/>
    </xf>
    <xf numFmtId="164" fontId="12" fillId="3" borderId="0" applyAlignment="1" pivotButton="0" quotePrefix="0" xfId="1">
      <alignment horizontal="center" vertical="center"/>
    </xf>
    <xf numFmtId="164" fontId="11" fillId="6" borderId="0" applyAlignment="1" pivotButton="0" quotePrefix="0" xfId="1">
      <alignment horizontal="right" vertical="center"/>
    </xf>
    <xf numFmtId="164" fontId="12" fillId="6" borderId="0" applyAlignment="1" pivotButton="0" quotePrefix="0" xfId="1">
      <alignment horizontal="right" vertical="center"/>
    </xf>
    <xf numFmtId="164" fontId="12" fillId="6" borderId="0" applyAlignment="1" pivotButton="0" quotePrefix="0" xfId="1">
      <alignment horizontal="center" vertical="center"/>
    </xf>
    <xf numFmtId="164" fontId="9" fillId="0" borderId="0" applyAlignment="1" pivotButton="0" quotePrefix="0" xfId="1">
      <alignment horizontal="right" vertical="center"/>
    </xf>
    <xf numFmtId="164" fontId="8" fillId="0" borderId="0" applyAlignment="1" pivotButton="0" quotePrefix="0" xfId="1">
      <alignment horizontal="center" vertical="center"/>
    </xf>
    <xf numFmtId="164" fontId="9" fillId="0" borderId="2" applyAlignment="1" pivotButton="0" quotePrefix="0" xfId="1">
      <alignment horizontal="center" vertical="center"/>
    </xf>
    <xf numFmtId="164" fontId="8" fillId="0" borderId="2" applyAlignment="1" pivotButton="0" quotePrefix="0" xfId="1">
      <alignment horizontal="center" vertical="center"/>
    </xf>
    <xf numFmtId="164" fontId="9" fillId="0" borderId="2" applyAlignment="1" pivotButton="0" quotePrefix="0" xfId="1">
      <alignment horizontal="right" vertical="center"/>
    </xf>
    <xf numFmtId="167" fontId="13" fillId="2" borderId="1" applyAlignment="1" pivotButton="0" quotePrefix="0" xfId="0">
      <alignment horizontal="right" vertical="center" wrapText="1"/>
    </xf>
    <xf numFmtId="167" fontId="3" fillId="2" borderId="1" applyAlignment="1" pivotButton="0" quotePrefix="0" xfId="0">
      <alignment horizontal="center" vertical="center"/>
    </xf>
    <xf numFmtId="167" fontId="13" fillId="2" borderId="1" applyAlignment="1" pivotButton="0" quotePrefix="0" xfId="0">
      <alignment horizontal="center" vertical="center"/>
    </xf>
    <xf numFmtId="167" fontId="14" fillId="0" borderId="0" applyAlignment="1" pivotButton="0" quotePrefix="0" xfId="0">
      <alignment horizontal="right" vertical="center" wrapText="1"/>
    </xf>
    <xf numFmtId="165" fontId="7" fillId="0" borderId="0" applyAlignment="1" pivotButton="0" quotePrefix="0" xfId="2">
      <alignment horizontal="center" vertical="center"/>
    </xf>
    <xf numFmtId="167" fontId="14" fillId="0" borderId="0" applyAlignment="1" pivotButton="0" quotePrefix="0" xfId="0">
      <alignment horizontal="center" vertical="center"/>
    </xf>
    <xf numFmtId="167" fontId="13" fillId="0" borderId="0" applyAlignment="1" pivotButton="0" quotePrefix="0" xfId="0">
      <alignment horizontal="right" vertical="center" wrapText="1"/>
    </xf>
    <xf numFmtId="168" fontId="14" fillId="0" borderId="0" applyAlignment="1" pivotButton="0" quotePrefix="0" xfId="0">
      <alignment horizontal="center" vertical="center"/>
    </xf>
    <xf numFmtId="167" fontId="7" fillId="0" borderId="3" applyAlignment="1" pivotButton="0" quotePrefix="0" xfId="0">
      <alignment horizontal="center" vertical="center"/>
    </xf>
    <xf numFmtId="167" fontId="2" fillId="10" borderId="1" applyAlignment="1" pivotButton="0" quotePrefix="0" xfId="0">
      <alignment horizontal="right" vertical="center" wrapText="1"/>
    </xf>
    <xf numFmtId="167" fontId="2" fillId="10" borderId="1" applyAlignment="1" pivotButton="0" quotePrefix="0" xfId="0">
      <alignment horizontal="center" vertical="center"/>
    </xf>
    <xf numFmtId="167" fontId="7" fillId="0" borderId="0" applyAlignment="1" pivotButton="0" quotePrefix="0" xfId="0">
      <alignment horizontal="center" vertical="center"/>
    </xf>
    <xf numFmtId="167" fontId="13" fillId="11" borderId="1" applyAlignment="1" pivotButton="0" quotePrefix="0" xfId="0">
      <alignment horizontal="right" vertical="center" wrapText="1"/>
    </xf>
    <xf numFmtId="168" fontId="13" fillId="11" borderId="1" applyAlignment="1" pivotButton="0" quotePrefix="0" xfId="0">
      <alignment horizontal="center" vertical="center"/>
    </xf>
    <xf numFmtId="164" fontId="11" fillId="3" borderId="1" applyAlignment="1" pivotButton="0" quotePrefix="0" xfId="1">
      <alignment horizontal="right" vertical="center"/>
    </xf>
    <xf numFmtId="164" fontId="8" fillId="4" borderId="0" applyAlignment="1" pivotButton="0" quotePrefix="0" xfId="1">
      <alignment horizontal="center" vertical="center"/>
    </xf>
    <xf numFmtId="165" fontId="8" fillId="0" borderId="0" applyAlignment="1" pivotButton="0" quotePrefix="0" xfId="1">
      <alignment horizontal="center" vertical="center"/>
    </xf>
    <xf numFmtId="164" fontId="5" fillId="2" borderId="1" applyAlignment="1" pivotButton="0" quotePrefix="0" xfId="1">
      <alignment horizontal="center" vertical="center"/>
    </xf>
    <xf numFmtId="165" fontId="8" fillId="0" borderId="2" applyAlignment="1" pivotButton="0" quotePrefix="0" xfId="1">
      <alignment horizontal="center" vertical="center"/>
    </xf>
    <xf numFmtId="164" fontId="9" fillId="2" borderId="1" applyAlignment="1" pivotButton="0" quotePrefix="0" xfId="1">
      <alignment horizontal="right" vertical="center"/>
    </xf>
    <xf numFmtId="164" fontId="11" fillId="7" borderId="1" applyAlignment="1" pivotButton="0" quotePrefix="0" xfId="1">
      <alignment horizontal="right" vertical="center"/>
    </xf>
    <xf numFmtId="164" fontId="11" fillId="7" borderId="1" applyAlignment="1" pivotButton="0" quotePrefix="0" xfId="1">
      <alignment horizontal="center" vertical="center"/>
    </xf>
    <xf numFmtId="164" fontId="11" fillId="5" borderId="1" applyAlignment="1" pivotButton="0" quotePrefix="0" xfId="1">
      <alignment horizontal="right" vertical="center"/>
    </xf>
    <xf numFmtId="164" fontId="11" fillId="5" borderId="1" applyAlignment="1" pivotButton="0" quotePrefix="0" xfId="1">
      <alignment horizontal="center" vertical="center"/>
    </xf>
    <xf numFmtId="164" fontId="11" fillId="3" borderId="3" applyAlignment="1" pivotButton="0" quotePrefix="0" xfId="1">
      <alignment horizontal="right" vertical="center"/>
    </xf>
    <xf numFmtId="164" fontId="11" fillId="3" borderId="3" applyAlignment="1" pivotButton="0" quotePrefix="0" xfId="1">
      <alignment horizontal="center" vertical="center"/>
    </xf>
    <xf numFmtId="164" fontId="6" fillId="0" borderId="3" applyAlignment="1" pivotButton="0" quotePrefix="0" xfId="1">
      <alignment horizontal="center" vertical="center"/>
    </xf>
    <xf numFmtId="169" fontId="8" fillId="0" borderId="2" applyAlignment="1" pivotButton="0" quotePrefix="0" xfId="1">
      <alignment horizontal="center" vertical="center"/>
    </xf>
    <xf numFmtId="164" fontId="5" fillId="0" borderId="3" applyAlignment="1" pivotButton="0" quotePrefix="0" xfId="1">
      <alignment horizontal="center" vertical="center"/>
    </xf>
    <xf numFmtId="164" fontId="5" fillId="0" borderId="2" applyAlignment="1" pivotButton="0" quotePrefix="0" xfId="1">
      <alignment horizontal="right" vertical="center"/>
    </xf>
    <xf numFmtId="164" fontId="5" fillId="0" borderId="2" applyAlignment="1" pivotButton="0" quotePrefix="0" xfId="1">
      <alignment horizontal="center" vertical="center"/>
    </xf>
    <xf numFmtId="164" fontId="11" fillId="3" borderId="5" applyAlignment="1" pivotButton="0" quotePrefix="0" xfId="1">
      <alignment horizontal="center" vertical="center"/>
    </xf>
    <xf numFmtId="164" fontId="11" fillId="7" borderId="4" applyAlignment="1" pivotButton="0" quotePrefix="0" xfId="1">
      <alignment horizontal="center" vertical="center"/>
    </xf>
    <xf numFmtId="164" fontId="9" fillId="0" borderId="6" applyAlignment="1" pivotButton="0" quotePrefix="0" xfId="1">
      <alignment horizontal="center" vertical="center"/>
    </xf>
    <xf numFmtId="164" fontId="5" fillId="2" borderId="4" applyAlignment="1" pivotButton="0" quotePrefix="0" xfId="1">
      <alignment horizontal="center" vertical="center"/>
    </xf>
    <xf numFmtId="165" fontId="6" fillId="0" borderId="6" applyAlignment="1" pivotButton="0" quotePrefix="0" xfId="1">
      <alignment horizontal="center" vertical="center"/>
    </xf>
    <xf numFmtId="164" fontId="5" fillId="2" borderId="3" applyAlignment="1" pivotButton="0" quotePrefix="0" xfId="1">
      <alignment horizontal="right" vertical="center"/>
    </xf>
    <xf numFmtId="164" fontId="5" fillId="2" borderId="5" applyAlignment="1" pivotButton="0" quotePrefix="0" xfId="1">
      <alignment horizontal="center" vertical="center"/>
    </xf>
    <xf numFmtId="164" fontId="5" fillId="2" borderId="3" applyAlignment="1" pivotButton="0" quotePrefix="0" xfId="1">
      <alignment horizontal="center" vertical="center"/>
    </xf>
    <xf numFmtId="164" fontId="15" fillId="4" borderId="6" applyAlignment="1" pivotButton="0" quotePrefix="0" xfId="1">
      <alignment horizontal="center" vertical="center"/>
    </xf>
    <xf numFmtId="164" fontId="1" fillId="0" borderId="0" applyAlignment="1" pivotButton="0" quotePrefix="0" xfId="0">
      <alignment horizontal="right" vertical="center"/>
    </xf>
    <xf numFmtId="164" fontId="8" fillId="0" borderId="6" applyAlignment="1" pivotButton="0" quotePrefix="0" xfId="1">
      <alignment horizontal="center" vertical="center"/>
    </xf>
    <xf numFmtId="164" fontId="9" fillId="4" borderId="0" applyAlignment="1" pivotButton="0" quotePrefix="0" xfId="1">
      <alignment horizontal="center" vertical="center"/>
    </xf>
    <xf numFmtId="164" fontId="11" fillId="5" borderId="4" applyAlignment="1" pivotButton="0" quotePrefix="0" xfId="1">
      <alignment horizontal="center" vertical="center"/>
    </xf>
    <xf numFmtId="164" fontId="5" fillId="9" borderId="1" applyAlignment="1" pivotButton="0" quotePrefix="0" xfId="1">
      <alignment horizontal="right" vertical="center"/>
    </xf>
    <xf numFmtId="170" fontId="9" fillId="0" borderId="0" applyAlignment="1" pivotButton="0" quotePrefix="0" xfId="2">
      <alignment horizontal="center" vertical="center"/>
    </xf>
    <xf numFmtId="164" fontId="11" fillId="10" borderId="1" applyAlignment="1" pivotButton="0" quotePrefix="0" xfId="1">
      <alignment horizontal="center" vertical="center"/>
    </xf>
    <xf numFmtId="169" fontId="9" fillId="0" borderId="6" applyAlignment="1" pivotButton="0" quotePrefix="0" xfId="1">
      <alignment horizontal="center" vertical="center"/>
    </xf>
    <xf numFmtId="164" fontId="11" fillId="10" borderId="1" applyAlignment="1" pivotButton="0" quotePrefix="0" xfId="1">
      <alignment horizontal="right" vertical="center"/>
    </xf>
    <xf numFmtId="10" fontId="9" fillId="0" borderId="0" applyAlignment="1" pivotButton="0" quotePrefix="0" xfId="2">
      <alignment horizontal="center" vertical="center"/>
    </xf>
    <xf numFmtId="164" fontId="16" fillId="0" borderId="0" applyAlignment="1" pivotButton="0" quotePrefix="0" xfId="1">
      <alignment horizontal="right" vertical="center"/>
    </xf>
    <xf numFmtId="164" fontId="16" fillId="0" borderId="1" applyAlignment="1" pivotButton="0" quotePrefix="0" xfId="1">
      <alignment horizontal="right" vertical="center"/>
    </xf>
    <xf numFmtId="164" fontId="16" fillId="0" borderId="3" applyAlignment="1" pivotButton="0" quotePrefix="0" xfId="1">
      <alignment horizontal="right" vertical="center"/>
    </xf>
    <xf numFmtId="164" fontId="16" fillId="0" borderId="5" applyAlignment="1" pivotButton="0" quotePrefix="0" xfId="1">
      <alignment horizontal="center" vertical="center"/>
    </xf>
    <xf numFmtId="164" fontId="16" fillId="0" borderId="3" applyAlignment="1" pivotButton="0" quotePrefix="0" xfId="1">
      <alignment horizontal="center" vertical="center"/>
    </xf>
    <xf numFmtId="164" fontId="17" fillId="2" borderId="4" applyAlignment="1" pivotButton="0" quotePrefix="0" xfId="1">
      <alignment horizontal="center" vertical="center"/>
    </xf>
    <xf numFmtId="164" fontId="18" fillId="2" borderId="1" applyAlignment="1" pivotButton="0" quotePrefix="0" xfId="1">
      <alignment horizontal="right" vertical="center"/>
    </xf>
    <xf numFmtId="164" fontId="17" fillId="2" borderId="1" applyAlignment="1" pivotButton="0" quotePrefix="0" xfId="1">
      <alignment horizontal="right" vertical="center"/>
    </xf>
    <xf numFmtId="164" fontId="17" fillId="2" borderId="1" applyAlignment="1" pivotButton="0" quotePrefix="0" xfId="1">
      <alignment horizontal="center" vertical="center"/>
    </xf>
    <xf numFmtId="167" fontId="2" fillId="7" borderId="3" applyAlignment="1" pivotButton="0" quotePrefix="0" xfId="0">
      <alignment horizontal="right" vertical="center" wrapText="1"/>
    </xf>
    <xf numFmtId="167" fontId="2" fillId="7" borderId="3" applyAlignment="1" pivotButton="0" quotePrefix="0" xfId="0">
      <alignment horizontal="center" vertical="center" wrapText="1"/>
    </xf>
    <xf numFmtId="164" fontId="11" fillId="7" borderId="0" applyAlignment="1" pivotButton="0" quotePrefix="0" xfId="1">
      <alignment horizontal="center" vertical="center"/>
    </xf>
    <xf numFmtId="171" fontId="7" fillId="13" borderId="0" applyAlignment="1" pivotButton="0" quotePrefix="0" xfId="2">
      <alignment horizontal="center" vertical="center"/>
    </xf>
    <xf numFmtId="172" fontId="12" fillId="6" borderId="0" applyAlignment="1" pivotButton="0" quotePrefix="0" xfId="3">
      <alignment horizontal="center" vertical="center"/>
    </xf>
    <xf numFmtId="172" fontId="9" fillId="0" borderId="0" applyAlignment="1" pivotButton="0" quotePrefix="0" xfId="3">
      <alignment horizontal="center" vertical="center"/>
    </xf>
    <xf numFmtId="169" fontId="4" fillId="0" borderId="0" applyAlignment="1" pivotButton="0" quotePrefix="0" xfId="1">
      <alignment horizontal="center" vertical="center"/>
    </xf>
    <xf numFmtId="172" fontId="5" fillId="0" borderId="3" applyAlignment="1" pivotButton="0" quotePrefix="0" xfId="3">
      <alignment horizontal="center" vertical="center"/>
    </xf>
    <xf numFmtId="164" fontId="11" fillId="3" borderId="1" applyAlignment="1" pivotButton="0" quotePrefix="0" xfId="1">
      <alignment horizontal="center" vertical="center"/>
    </xf>
    <xf numFmtId="164" fontId="4" fillId="14" borderId="1" applyAlignment="1" pivotButton="0" quotePrefix="0" xfId="1">
      <alignment horizontal="right" vertical="center"/>
    </xf>
    <xf numFmtId="164" fontId="4" fillId="14" borderId="4" applyAlignment="1" pivotButton="0" quotePrefix="0" xfId="1">
      <alignment horizontal="center" vertical="center"/>
    </xf>
    <xf numFmtId="164" fontId="4" fillId="14" borderId="1" applyAlignment="1" pivotButton="0" quotePrefix="0" xfId="1">
      <alignment horizontal="center" vertical="center"/>
    </xf>
    <xf numFmtId="172" fontId="4" fillId="14" borderId="1" applyAlignment="1" pivotButton="0" quotePrefix="0" xfId="3">
      <alignment horizontal="center" vertical="center"/>
    </xf>
    <xf numFmtId="172" fontId="8" fillId="0" borderId="3" applyAlignment="1" pivotButton="0" quotePrefix="0" xfId="3">
      <alignment horizontal="center" vertical="center"/>
    </xf>
    <xf numFmtId="164" fontId="6" fillId="4" borderId="6" applyAlignment="1" pivotButton="0" quotePrefix="0" xfId="1">
      <alignment horizontal="center" vertical="center"/>
    </xf>
    <xf numFmtId="172" fontId="7" fillId="0" borderId="0" applyAlignment="1" pivotButton="0" quotePrefix="0" xfId="3">
      <alignment horizontal="center" vertical="center"/>
    </xf>
    <xf numFmtId="172" fontId="14" fillId="0" borderId="0" applyAlignment="1" pivotButton="0" quotePrefix="0" xfId="3">
      <alignment horizontal="center" vertical="center"/>
    </xf>
    <xf numFmtId="172" fontId="6" fillId="0" borderId="0" applyAlignment="1" pivotButton="0" quotePrefix="0" xfId="3">
      <alignment horizontal="center" vertical="center"/>
    </xf>
    <xf numFmtId="172" fontId="4" fillId="2" borderId="1" applyAlignment="1" pivotButton="0" quotePrefix="0" xfId="3">
      <alignment horizontal="center" vertical="center"/>
    </xf>
    <xf numFmtId="164" fontId="4" fillId="15" borderId="1" applyAlignment="1" pivotButton="0" quotePrefix="0" xfId="1">
      <alignment horizontal="right" vertical="center"/>
    </xf>
    <xf numFmtId="164" fontId="4" fillId="15" borderId="4" applyAlignment="1" pivotButton="0" quotePrefix="0" xfId="1">
      <alignment horizontal="center" vertical="center"/>
    </xf>
    <xf numFmtId="164" fontId="4" fillId="15" borderId="1" applyAlignment="1" pivotButton="0" quotePrefix="0" xfId="1">
      <alignment horizontal="center" vertical="center"/>
    </xf>
    <xf numFmtId="172" fontId="4" fillId="15" borderId="1" applyAlignment="1" pivotButton="0" quotePrefix="0" xfId="3">
      <alignment horizontal="center" vertical="center"/>
    </xf>
    <xf numFmtId="172" fontId="6" fillId="8" borderId="0" applyAlignment="1" pivotButton="0" quotePrefix="0" xfId="3">
      <alignment horizontal="center" vertical="center"/>
    </xf>
    <xf numFmtId="164" fontId="11" fillId="16" borderId="1" applyAlignment="1" pivotButton="0" quotePrefix="0" xfId="1">
      <alignment horizontal="right" vertical="center"/>
    </xf>
    <xf numFmtId="164" fontId="11" fillId="16" borderId="4" applyAlignment="1" pivotButton="0" quotePrefix="0" xfId="1">
      <alignment horizontal="center" vertical="center"/>
    </xf>
    <xf numFmtId="164" fontId="11" fillId="16" borderId="1" applyAlignment="1" pivotButton="0" quotePrefix="0" xfId="1">
      <alignment horizontal="center" vertical="center"/>
    </xf>
    <xf numFmtId="172" fontId="11" fillId="16" borderId="1" applyAlignment="1" pivotButton="0" quotePrefix="0" xfId="3">
      <alignment horizontal="center" vertical="center"/>
    </xf>
    <xf numFmtId="164" fontId="11" fillId="3" borderId="3" applyAlignment="1" pivotButton="0" quotePrefix="0" xfId="3">
      <alignment horizontal="center" vertical="center"/>
    </xf>
    <xf numFmtId="165" fontId="9" fillId="0" borderId="5" applyAlignment="1" pivotButton="0" quotePrefix="0" xfId="1">
      <alignment horizontal="center" vertical="center"/>
    </xf>
    <xf numFmtId="164" fontId="5" fillId="0" borderId="7" applyAlignment="1" pivotButton="0" quotePrefix="0" xfId="1">
      <alignment horizontal="center" vertical="center"/>
    </xf>
    <xf numFmtId="10" fontId="9" fillId="0" borderId="7" applyAlignment="1" pivotButton="0" quotePrefix="0" xfId="2">
      <alignment horizontal="center" vertical="center"/>
    </xf>
    <xf numFmtId="9" fontId="9" fillId="0" borderId="0" applyAlignment="1" pivotButton="0" quotePrefix="0" xfId="2">
      <alignment horizontal="center" vertical="center"/>
    </xf>
    <xf numFmtId="166" fontId="8" fillId="0" borderId="0" applyAlignment="1" pivotButton="0" quotePrefix="0" xfId="1">
      <alignment horizontal="center" vertical="center"/>
    </xf>
    <xf numFmtId="171" fontId="4" fillId="9" borderId="4" applyAlignment="1" pivotButton="0" quotePrefix="0" xfId="1">
      <alignment horizontal="center" vertical="center"/>
    </xf>
    <xf numFmtId="0" fontId="19" fillId="0" borderId="0" applyAlignment="1" pivotButton="0" quotePrefix="0" xfId="0">
      <alignment horizontal="right"/>
    </xf>
    <xf numFmtId="0" fontId="20" fillId="0" borderId="0" applyAlignment="1" pivotButton="0" quotePrefix="0" xfId="0">
      <alignment horizontal="right"/>
    </xf>
    <xf numFmtId="164" fontId="21" fillId="17" borderId="8" applyAlignment="1" pivotButton="0" quotePrefix="0" xfId="0">
      <alignment horizontal="center" vertical="center"/>
    </xf>
    <xf numFmtId="173" fontId="21" fillId="17" borderId="8" applyAlignment="1" pivotButton="0" quotePrefix="0" xfId="0">
      <alignment horizontal="center" vertical="center"/>
    </xf>
    <xf numFmtId="10" fontId="21" fillId="17" borderId="8" applyAlignment="1" pivotButton="0" quotePrefix="0" xfId="0">
      <alignment horizontal="center" vertical="center"/>
    </xf>
    <xf numFmtId="1" fontId="21" fillId="17" borderId="8" applyAlignment="1" pivotButton="0" quotePrefix="0" xfId="0">
      <alignment horizontal="center" vertical="center"/>
    </xf>
    <xf numFmtId="1" fontId="20" fillId="0" borderId="0" applyAlignment="1" pivotButton="0" quotePrefix="0" xfId="0">
      <alignment horizontal="center" vertical="center"/>
    </xf>
    <xf numFmtId="0" fontId="11" fillId="3" borderId="0" applyAlignment="1" pivotButton="0" quotePrefix="0" xfId="0">
      <alignment horizontal="center" vertical="center"/>
    </xf>
    <xf numFmtId="174" fontId="21" fillId="17" borderId="8" applyAlignment="1" pivotButton="0" quotePrefix="0" xfId="0">
      <alignment horizontal="center" vertical="center"/>
    </xf>
    <xf numFmtId="174" fontId="20" fillId="0" borderId="0" applyAlignment="1" pivotButton="0" quotePrefix="0" xfId="0">
      <alignment horizontal="center" vertical="center"/>
    </xf>
    <xf numFmtId="164" fontId="19" fillId="0" borderId="0" applyAlignment="1" pivotButton="0" quotePrefix="0" xfId="1">
      <alignment horizontal="right"/>
    </xf>
    <xf numFmtId="174" fontId="19" fillId="0" borderId="0" applyAlignment="1" pivotButton="0" quotePrefix="0" xfId="1">
      <alignment horizontal="center" vertical="center"/>
    </xf>
    <xf numFmtId="164" fontId="20" fillId="0" borderId="0" applyAlignment="1" pivotButton="0" quotePrefix="0" xfId="1">
      <alignment horizontal="right"/>
    </xf>
    <xf numFmtId="1" fontId="20" fillId="0" borderId="0" applyAlignment="1" pivotButton="0" quotePrefix="0" xfId="1">
      <alignment horizontal="center" vertical="center"/>
    </xf>
    <xf numFmtId="164" fontId="20" fillId="0" borderId="0" applyAlignment="1" pivotButton="0" quotePrefix="0" xfId="1">
      <alignment horizontal="center" vertical="center"/>
    </xf>
    <xf numFmtId="164" fontId="20" fillId="0" borderId="0" applyAlignment="1" pivotButton="0" quotePrefix="0" xfId="0">
      <alignment horizontal="center" vertical="center"/>
    </xf>
    <xf numFmtId="164" fontId="20" fillId="0" borderId="0" applyAlignment="1" pivotButton="0" quotePrefix="0" xfId="3">
      <alignment horizontal="center" vertical="center"/>
    </xf>
    <xf numFmtId="169" fontId="8" fillId="4" borderId="6" applyAlignment="1" pivotButton="0" quotePrefix="0" xfId="1">
      <alignment horizontal="center" vertical="center"/>
    </xf>
    <xf numFmtId="171" fontId="7" fillId="13" borderId="0" applyAlignment="1" pivotButton="0" quotePrefix="0" xfId="2">
      <alignment horizontal="center" vertical="center"/>
    </xf>
    <xf numFmtId="172" fontId="12" fillId="6" borderId="0" applyAlignment="1" pivotButton="0" quotePrefix="0" xfId="3">
      <alignment horizontal="center" vertical="center"/>
    </xf>
    <xf numFmtId="172" fontId="9" fillId="0" borderId="0" applyAlignment="1" pivotButton="0" quotePrefix="0" xfId="3">
      <alignment horizontal="center" vertical="center"/>
    </xf>
    <xf numFmtId="165" fontId="9" fillId="0" borderId="0" applyAlignment="1" pivotButton="0" quotePrefix="0" xfId="1">
      <alignment horizontal="center" vertical="center"/>
    </xf>
    <xf numFmtId="173" fontId="21" fillId="17" borderId="8" applyAlignment="1" pivotButton="0" quotePrefix="0" xfId="0">
      <alignment horizontal="center" vertical="center"/>
    </xf>
    <xf numFmtId="164" fontId="8" fillId="0" borderId="3" applyAlignment="1" pivotButton="0" quotePrefix="0" xfId="1">
      <alignment horizontal="center" vertical="center"/>
    </xf>
    <xf numFmtId="169" fontId="4" fillId="0" borderId="0" applyAlignment="1" pivotButton="0" quotePrefix="0" xfId="1">
      <alignment horizontal="center" vertical="center"/>
    </xf>
    <xf numFmtId="169" fontId="8" fillId="0" borderId="2" applyAlignment="1" pivotButton="0" quotePrefix="0" xfId="1">
      <alignment horizontal="center" vertical="center"/>
    </xf>
    <xf numFmtId="174" fontId="21" fillId="17" borderId="8" applyAlignment="1" pivotButton="0" quotePrefix="0" xfId="0">
      <alignment horizontal="center" vertical="center"/>
    </xf>
    <xf numFmtId="174" fontId="20" fillId="0" borderId="0" applyAlignment="1" pivotButton="0" quotePrefix="0" xfId="0">
      <alignment horizontal="center" vertical="center"/>
    </xf>
    <xf numFmtId="172" fontId="5" fillId="0" borderId="3" applyAlignment="1" pivotButton="0" quotePrefix="0" xfId="3">
      <alignment horizontal="center" vertical="center"/>
    </xf>
    <xf numFmtId="174" fontId="19" fillId="0" borderId="0" applyAlignment="1" pivotButton="0" quotePrefix="0" xfId="1">
      <alignment horizontal="center" vertical="center"/>
    </xf>
    <xf numFmtId="169" fontId="9" fillId="0" borderId="6" applyAlignment="1" pivotButton="0" quotePrefix="0" xfId="1">
      <alignment horizontal="center" vertical="center"/>
    </xf>
    <xf numFmtId="172" fontId="4" fillId="14" borderId="1" applyAlignment="1" pivotButton="0" quotePrefix="0" xfId="3">
      <alignment horizontal="center" vertical="center"/>
    </xf>
    <xf numFmtId="172" fontId="8" fillId="0" borderId="3" applyAlignment="1" pivotButton="0" quotePrefix="0" xfId="3">
      <alignment horizontal="center" vertical="center"/>
    </xf>
    <xf numFmtId="172" fontId="7" fillId="0" borderId="0" applyAlignment="1" pivotButton="0" quotePrefix="0" xfId="3">
      <alignment horizontal="center" vertical="center"/>
    </xf>
    <xf numFmtId="172" fontId="14" fillId="0" borderId="0" applyAlignment="1" pivotButton="0" quotePrefix="0" xfId="3">
      <alignment horizontal="center" vertical="center"/>
    </xf>
    <xf numFmtId="172" fontId="4" fillId="2" borderId="1" applyAlignment="1" pivotButton="0" quotePrefix="0" xfId="3">
      <alignment horizontal="center" vertical="center"/>
    </xf>
    <xf numFmtId="172" fontId="4" fillId="15" borderId="1" applyAlignment="1" pivotButton="0" quotePrefix="0" xfId="3">
      <alignment horizontal="center" vertical="center"/>
    </xf>
    <xf numFmtId="172" fontId="6" fillId="0" borderId="0" applyAlignment="1" pivotButton="0" quotePrefix="0" xfId="3">
      <alignment horizontal="center" vertical="center"/>
    </xf>
    <xf numFmtId="172" fontId="6" fillId="8" borderId="0" applyAlignment="1" pivotButton="0" quotePrefix="0" xfId="3">
      <alignment horizontal="center" vertical="center"/>
    </xf>
    <xf numFmtId="172" fontId="11" fillId="16" borderId="1" applyAlignment="1" pivotButton="0" quotePrefix="0" xfId="3">
      <alignment horizontal="center" vertical="center"/>
    </xf>
    <xf numFmtId="169" fontId="8" fillId="4" borderId="6" applyAlignment="1" pivotButton="0" quotePrefix="0" xfId="1">
      <alignment horizontal="center" vertical="center"/>
    </xf>
    <xf numFmtId="171" fontId="4" fillId="9" borderId="4" applyAlignment="1" pivotButton="0" quotePrefix="0" xfId="1">
      <alignment horizontal="center" vertical="center"/>
    </xf>
    <xf numFmtId="2" fontId="6" fillId="4" borderId="6" applyAlignment="1" pivotButton="0" quotePrefix="0" xfId="1">
      <alignment horizontal="center" vertical="center"/>
    </xf>
    <xf numFmtId="170" fontId="9" fillId="0" borderId="0" applyAlignment="1" pivotButton="0" quotePrefix="0" xfId="2">
      <alignment horizontal="center" vertical="center"/>
    </xf>
    <xf numFmtId="0" fontId="9" fillId="0" borderId="0" applyAlignment="1" pivotButton="0" quotePrefix="0" xfId="0">
      <alignment horizontal="right" vertical="center"/>
    </xf>
    <xf numFmtId="173" fontId="9" fillId="4" borderId="6" applyAlignment="1" pivotButton="0" quotePrefix="0" xfId="1">
      <alignment horizontal="center" vertical="center"/>
    </xf>
    <xf numFmtId="170" fontId="4" fillId="9" borderId="4" applyAlignment="1" pivotButton="0" quotePrefix="0" xfId="1">
      <alignment horizontal="center" vertical="center"/>
    </xf>
  </cellXfs>
  <cellStyles count="4">
    <cellStyle name="Normal" xfId="0" builtinId="0"/>
    <cellStyle name="Normal 2" xfId="1"/>
    <cellStyle name="Percent" xfId="2" builtinId="5"/>
    <cellStyle name="Comma" xfId="3" builtinId="3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b val="1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Relationship Type="http://schemas.microsoft.com/office/2006/relationships/vbaProject" Target="vbaProject.bin" Id="rId4"/></Relationships>
</file>

<file path=xl/comments/comment1.xml><?xml version="1.0" encoding="utf-8"?>
<comments xmlns="http://schemas.openxmlformats.org/spreadsheetml/2006/main">
  <authors>
    <author>Claude</author>
  </authors>
  <commentList>
    <comment ref="S45" authorId="0" shapeId="0">
      <text>
        <t>المصدر: جدول سداد التمويل - بنك الرياض، رقم الحساب 2000464699941، منتج TRQC</t>
      </text>
    </comment>
    <comment ref="E47" authorId="0" shapeId="0">
      <text>
        <t>حد التورّق حسب اتفاقية التمويل الإسلامي مع بنك الرياض (المادة 7): 8,700,000 ريال.</t>
      </text>
    </comment>
    <comment ref="S48" authorId="0" shapeId="0">
      <text>
        <t>افتراض: السنة 0 في النموذج = 2025 (سنة شراء الأرض ودخول المساهمين). عدّلها لو مختلفة.</t>
      </text>
    </comment>
    <comment ref="E108" authorId="0" shapeId="0">
      <text>
        <t>رأس مال المساهمين = تكلفة الأرض (10,320,000) لأن الأرض اتمولت بالكامل من المساهمين. القرض البنكي مش جزء من رأس المال.</t>
      </text>
    </comment>
    <comment ref="E109" authorId="0" shapeId="0">
      <text>
        <t>من تاريخ بداية الاستثمار لحد آخر قسط للبنك في الشريحة الأولى (27/01/2028).</t>
      </text>
    </comment>
    <comment ref="E111" authorId="0" shapeId="0">
      <text>
        <t>أول دفعة من المساهمين (21/07/2025) حسب كشف المساهمين.</t>
      </text>
    </comment>
  </commentList>
</comments>
</file>

<file path=xl/theme/theme1.xml><?xml version="1.0" encoding="utf-8"?>
<a:theme xmlns:a="http://schemas.openxmlformats.org/drawingml/2006/main" name="Office Theme">
  <a:themeElements>
    <a:clrScheme name="تسوي 2">
      <a:dk1>
        <a:srgbClr val="171616"/>
      </a:dk1>
      <a:lt1>
        <a:sysClr val="window" lastClr="FFFFFF"/>
      </a:lt1>
      <a:dk2>
        <a:srgbClr val="B7975C"/>
      </a:dk2>
      <a:lt2>
        <a:srgbClr val="E7E6E6"/>
      </a:lt2>
      <a:accent1>
        <a:srgbClr val="1F5430"/>
      </a:accent1>
      <a:accent2>
        <a:srgbClr val="54774E"/>
      </a:accent2>
      <a:accent3>
        <a:srgbClr val="88996B"/>
      </a:accent3>
      <a:accent4>
        <a:srgbClr val="B7975C"/>
      </a:accent4>
      <a:accent5>
        <a:srgbClr val="D4BA81"/>
      </a:accent5>
      <a:accent6>
        <a:srgbClr val="E7DFC6"/>
      </a:accent6>
      <a:hlink>
        <a:srgbClr val="0563C1"/>
      </a:hlink>
      <a:folHlink>
        <a:srgbClr val="954F72"/>
      </a:folHlink>
    </a:clrScheme>
    <a:fontScheme name="الخط الاساسي">
      <a:majorFont>
        <a:latin typeface="Calibri"/>
        <a:ea typeface=""/>
        <a:cs typeface="Calibri"/>
      </a:majorFont>
      <a:minorFont>
        <a:latin typeface="Calibri"/>
        <a:ea typeface="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heet25">
    <outlinePr summaryBelow="1" summaryRight="1"/>
    <pageSetUpPr/>
  </sheetPr>
  <dimension ref="A1:AA113"/>
  <sheetViews>
    <sheetView showGridLines="0" rightToLeft="1" tabSelected="1" topLeftCell="A88" zoomScaleNormal="100" workbookViewId="0">
      <selection activeCell="H106" sqref="H106"/>
    </sheetView>
  </sheetViews>
  <sheetFormatPr baseColWidth="8" defaultColWidth="0" defaultRowHeight="14.4"/>
  <cols>
    <col width="3.44140625" customWidth="1" style="6" min="1" max="3"/>
    <col width="43.6640625" customWidth="1" style="29" min="4" max="4"/>
    <col width="14.88671875" customWidth="1" style="10" min="5" max="5"/>
    <col width="16.109375" bestFit="1" customWidth="1" style="10" min="6" max="6"/>
    <col width="14.88671875" customWidth="1" style="10" min="7" max="9"/>
    <col width="23.33203125" bestFit="1" customWidth="1" style="10" min="10" max="11"/>
    <col width="14.88671875" customWidth="1" style="10" min="12" max="17"/>
    <col hidden="1" width="30" customWidth="1" min="18" max="18"/>
    <col hidden="1" width="14" customWidth="1" min="19" max="19"/>
    <col hidden="1" width="12" customWidth="1" min="20" max="20"/>
    <col hidden="1" width="16" customWidth="1" min="21" max="21"/>
    <col hidden="1" width="16" customWidth="1" style="10" min="22" max="22"/>
    <col hidden="1" width="16" customWidth="1" min="23" max="23"/>
    <col hidden="1" width="16" customWidth="1" style="10" min="24" max="24"/>
    <col width="16" customWidth="1" style="10" min="25" max="27"/>
    <col hidden="1" style="10" min="28" max="52"/>
    <col hidden="1" width="8.88671875" customWidth="1" style="10" min="53" max="53"/>
    <col hidden="1" width="8.88671875" customWidth="1" style="10" min="54" max="16384"/>
  </cols>
  <sheetData>
    <row r="1" customFormat="1" s="25">
      <c r="A1" s="23" t="inlineStr">
        <is>
          <t xml:space="preserve">القادسية تون هاوس </t>
        </is>
      </c>
      <c r="B1" s="23" t="n"/>
      <c r="C1" s="23" t="n"/>
      <c r="D1" s="24" t="n"/>
    </row>
    <row r="2" customFormat="1" s="25">
      <c r="A2" s="23" t="inlineStr">
        <is>
          <t>نموذج الشقق السكنية</t>
        </is>
      </c>
      <c r="B2" s="23" t="n"/>
      <c r="C2" s="23" t="n"/>
      <c r="D2" s="24" t="n"/>
    </row>
    <row r="3" customFormat="1" s="25">
      <c r="A3" s="23" t="n"/>
      <c r="B3" s="23" t="n"/>
      <c r="C3" s="23" t="n"/>
      <c r="D3" s="24" t="n"/>
    </row>
    <row r="4" customFormat="1" s="28">
      <c r="A4" s="26" t="inlineStr">
        <is>
          <t>أولا | وصف المشروع</t>
        </is>
      </c>
      <c r="B4" s="26" t="n"/>
      <c r="C4" s="26" t="n"/>
      <c r="D4" s="27" t="n"/>
    </row>
    <row r="6">
      <c r="C6" s="6" t="inlineStr">
        <is>
          <t>تقسيم الأرض</t>
        </is>
      </c>
    </row>
    <row r="7">
      <c r="D7" s="95" t="inlineStr">
        <is>
          <t>بيان</t>
        </is>
      </c>
      <c r="E7" s="95" t="inlineStr">
        <is>
          <t>%</t>
        </is>
      </c>
      <c r="F7" s="95" t="inlineStr">
        <is>
          <t>قيمة</t>
        </is>
      </c>
    </row>
    <row r="8">
      <c r="D8" s="33" t="inlineStr">
        <is>
          <t>مساحة أرض المشروع</t>
        </is>
      </c>
      <c r="E8" s="31" t="n"/>
      <c r="F8" s="32" t="n">
        <v>3000</v>
      </c>
    </row>
    <row r="10">
      <c r="D10" s="93" t="inlineStr">
        <is>
          <t>البند</t>
        </is>
      </c>
      <c r="E10" s="94" t="inlineStr">
        <is>
          <t xml:space="preserve">السكني شقق </t>
        </is>
      </c>
    </row>
    <row r="11">
      <c r="D11" s="34" t="inlineStr">
        <is>
          <t>مساحة الأرض المخصصة</t>
        </is>
      </c>
      <c r="E11" s="35">
        <f>F8</f>
        <v/>
      </c>
    </row>
    <row r="12">
      <c r="D12" s="37" t="inlineStr">
        <is>
          <t>نسبة البناء على الأرض</t>
        </is>
      </c>
      <c r="E12" s="38" t="n">
        <v>0.5</v>
      </c>
    </row>
    <row r="13">
      <c r="D13" s="37" t="inlineStr">
        <is>
          <t>المساحة المبنى عليها</t>
        </is>
      </c>
      <c r="E13" s="39">
        <f>E11*E12</f>
        <v/>
      </c>
    </row>
    <row r="14">
      <c r="D14" s="29" t="inlineStr">
        <is>
          <t>معامل البناء</t>
        </is>
      </c>
      <c r="E14" s="126" t="n">
        <v>2.37166666666667</v>
      </c>
    </row>
    <row r="15">
      <c r="D15" s="34" t="inlineStr">
        <is>
          <t>المسطحات البنائية م2</t>
        </is>
      </c>
      <c r="E15" s="36">
        <f>E11*E14</f>
        <v/>
      </c>
    </row>
    <row r="16">
      <c r="D16" s="40" t="inlineStr">
        <is>
          <t>عدد الأدوار</t>
        </is>
      </c>
      <c r="E16" s="41">
        <f>IFERROR(E15/E13,0)</f>
        <v/>
      </c>
    </row>
    <row r="17">
      <c r="D17" s="40" t="inlineStr">
        <is>
          <t>نسبة المساحة الصافية</t>
        </is>
      </c>
      <c r="E17" s="146" t="n">
        <v>0.9230302178496121</v>
      </c>
      <c r="F17" s="38" t="n"/>
    </row>
    <row r="18">
      <c r="D18" s="34" t="inlineStr">
        <is>
          <t>المساحات الصافية م2</t>
        </is>
      </c>
      <c r="E18" s="36">
        <f>E15*E17</f>
        <v/>
      </c>
      <c r="G18" s="125" t="n"/>
    </row>
    <row r="19">
      <c r="D19" s="40" t="inlineStr">
        <is>
          <t>متوسط مساحة الوحدة (مسطحات مباني)</t>
        </is>
      </c>
      <c r="E19" s="42" t="n">
        <v>273.64</v>
      </c>
    </row>
    <row r="20">
      <c r="D20" s="40" t="inlineStr">
        <is>
          <t>عدد الوحدات / م2</t>
        </is>
      </c>
      <c r="E20" s="39">
        <f>IFERROR(E18/E19,0)</f>
        <v/>
      </c>
    </row>
    <row r="21">
      <c r="D21" s="37" t="inlineStr">
        <is>
          <t>الموقع العام</t>
        </is>
      </c>
      <c r="E21" s="39">
        <f>E11-E13</f>
        <v/>
      </c>
    </row>
    <row r="22">
      <c r="D22" s="43" t="inlineStr">
        <is>
          <t>مساحة القبو م2 - مواقف</t>
        </is>
      </c>
      <c r="E22" s="44" t="n">
        <v>3000</v>
      </c>
    </row>
    <row r="23">
      <c r="D23" s="46" t="inlineStr">
        <is>
          <t>عدد أدوار القبو -  المشروع</t>
        </is>
      </c>
      <c r="E23" s="47">
        <f>IFERROR(E22/E11,0)</f>
        <v/>
      </c>
    </row>
    <row r="25">
      <c r="A25" s="26" t="inlineStr">
        <is>
          <t>ثانيا | تكاليف المشروع</t>
        </is>
      </c>
      <c r="B25" s="26" t="n"/>
      <c r="C25" s="26" t="n"/>
      <c r="D25" s="27" t="n"/>
      <c r="E25" s="28" t="n"/>
      <c r="F25" s="28" t="n"/>
      <c r="G25" s="28" t="n"/>
      <c r="H25" s="28" t="n"/>
      <c r="I25" s="28" t="n"/>
      <c r="J25" s="28" t="n"/>
      <c r="K25" s="28" t="n"/>
      <c r="L25" s="28" t="n"/>
      <c r="M25" s="28" t="n"/>
      <c r="N25" s="28" t="n"/>
      <c r="O25" s="28" t="n"/>
      <c r="P25" s="28" t="n"/>
      <c r="Q25" s="28" t="n"/>
      <c r="R25" s="28" t="n"/>
      <c r="S25" s="28" t="n"/>
      <c r="T25" s="28" t="n"/>
      <c r="U25" s="28" t="n"/>
      <c r="V25" s="28" t="n"/>
      <c r="W25" s="28" t="n"/>
      <c r="X25" s="28" t="n"/>
      <c r="Y25" s="28" t="n"/>
      <c r="Z25" s="28" t="n"/>
      <c r="AA25" s="28" t="n"/>
    </row>
    <row r="26">
      <c r="D26" s="10" t="n"/>
    </row>
    <row r="27">
      <c r="C27" s="54" t="inlineStr">
        <is>
          <t>تكلفة الأرض</t>
        </is>
      </c>
      <c r="D27" s="54" t="n"/>
      <c r="E27" s="55" t="inlineStr">
        <is>
          <t>أ</t>
        </is>
      </c>
      <c r="F27" s="55" t="inlineStr">
        <is>
          <t>ب</t>
        </is>
      </c>
      <c r="G27" s="55" t="inlineStr">
        <is>
          <t>أ x ب</t>
        </is>
      </c>
    </row>
    <row r="28">
      <c r="D28" s="29" t="inlineStr">
        <is>
          <t>شراء الأرض</t>
        </is>
      </c>
      <c r="E28" s="10">
        <f>F8</f>
        <v/>
      </c>
      <c r="F28" s="49" t="n">
        <v>3200</v>
      </c>
      <c r="G28" s="10">
        <f>F28*E28</f>
        <v/>
      </c>
    </row>
    <row r="29">
      <c r="D29" s="29" t="inlineStr">
        <is>
          <t>السعي والضريبة - لنسبة المساهمة للمساهم</t>
        </is>
      </c>
      <c r="E29" s="10">
        <f>G28</f>
        <v/>
      </c>
      <c r="F29" s="50" t="n">
        <v>0.075</v>
      </c>
      <c r="G29" s="10">
        <f>F29*E29</f>
        <v/>
      </c>
    </row>
    <row r="30">
      <c r="C30" s="12" t="n"/>
      <c r="D30" s="12" t="inlineStr">
        <is>
          <t>تكلفة شراء الأرض</t>
        </is>
      </c>
      <c r="E30" s="51">
        <f>E28</f>
        <v/>
      </c>
      <c r="F30" s="51">
        <f>G30/E30</f>
        <v/>
      </c>
      <c r="G30" s="51">
        <f>SUM(G28:G29)</f>
        <v/>
      </c>
    </row>
    <row r="32">
      <c r="C32" s="48" t="inlineStr">
        <is>
          <t>تكاليف البناء</t>
        </is>
      </c>
      <c r="D32" s="54" t="n"/>
      <c r="E32" s="54" t="inlineStr">
        <is>
          <t>أ</t>
        </is>
      </c>
      <c r="F32" s="55" t="inlineStr">
        <is>
          <t>ب</t>
        </is>
      </c>
      <c r="G32" s="55" t="inlineStr">
        <is>
          <t>أ x ب</t>
        </is>
      </c>
    </row>
    <row r="33">
      <c r="D33" s="29" t="inlineStr">
        <is>
          <t>تاون هاوس</t>
        </is>
      </c>
      <c r="E33" s="10">
        <f>E15</f>
        <v/>
      </c>
      <c r="F33" s="30" t="n">
        <v>1500</v>
      </c>
      <c r="G33" s="10">
        <f>F33*E33</f>
        <v/>
      </c>
    </row>
    <row r="34">
      <c r="D34" s="29" t="inlineStr">
        <is>
          <t xml:space="preserve">القبو </t>
        </is>
      </c>
      <c r="E34" s="10">
        <f>E22</f>
        <v/>
      </c>
      <c r="F34" s="30" t="n">
        <v>600</v>
      </c>
      <c r="G34" s="10">
        <f>F34*E34</f>
        <v/>
      </c>
    </row>
    <row r="35">
      <c r="D35" s="29" t="inlineStr">
        <is>
          <t>الموقع العام</t>
        </is>
      </c>
      <c r="E35" s="10">
        <f>E21</f>
        <v/>
      </c>
      <c r="F35" s="30" t="n">
        <v>300</v>
      </c>
      <c r="G35" s="10">
        <f>F35*E35</f>
        <v/>
      </c>
    </row>
    <row r="36">
      <c r="C36" s="12" t="n"/>
      <c r="D36" s="12" t="inlineStr">
        <is>
          <t>التكاليف المباشرة</t>
        </is>
      </c>
      <c r="E36" s="51">
        <f>SUM(E33:E34)</f>
        <v/>
      </c>
      <c r="F36" s="16" t="n"/>
      <c r="G36" s="51">
        <f>SUM(G33:G35)</f>
        <v/>
      </c>
    </row>
    <row r="37">
      <c r="C37" s="54" t="inlineStr">
        <is>
          <t>التكاليف الغير مباشرة</t>
        </is>
      </c>
      <c r="D37" s="54" t="n"/>
      <c r="E37" s="55" t="n"/>
      <c r="F37" s="55" t="n"/>
      <c r="G37" s="55" t="n"/>
    </row>
    <row r="38">
      <c r="D38" s="29" t="inlineStr">
        <is>
          <t>التكاليف الأخرى ( التصاميم ، الاشراف الهندسي ، الرسوم الحكومية، تسويق )</t>
        </is>
      </c>
      <c r="E38" s="10">
        <f>G36</f>
        <v/>
      </c>
      <c r="F38" s="5" t="n">
        <v>0.02</v>
      </c>
      <c r="G38" s="10">
        <f>F38*E38</f>
        <v/>
      </c>
    </row>
    <row r="39">
      <c r="C39" s="12" t="n"/>
      <c r="D39" s="12" t="inlineStr">
        <is>
          <t>اجمالي التكاليف الأخرى</t>
        </is>
      </c>
      <c r="E39" s="51" t="n"/>
      <c r="F39" s="51" t="n"/>
      <c r="G39" s="51">
        <f>SUM(G38:G38)</f>
        <v/>
      </c>
    </row>
    <row r="40">
      <c r="C40" s="82" t="n"/>
      <c r="D40" s="82" t="inlineStr">
        <is>
          <t>إجمالي التكاليف</t>
        </is>
      </c>
      <c r="E40" s="80" t="n"/>
      <c r="F40" s="80" t="n"/>
      <c r="G40" s="80">
        <f>SUM(G39,G36,G30)</f>
        <v/>
      </c>
    </row>
    <row r="42">
      <c r="A42" s="26" t="inlineStr">
        <is>
          <t>ثالثا | التمويل البنكي</t>
        </is>
      </c>
      <c r="B42" s="26" t="n"/>
      <c r="C42" s="26" t="n"/>
      <c r="D42" s="27" t="n"/>
      <c r="E42" s="28" t="n"/>
      <c r="F42" s="28" t="n"/>
      <c r="G42" s="28" t="n"/>
      <c r="H42" s="28" t="n"/>
      <c r="I42" s="28" t="n"/>
      <c r="J42" s="28" t="n"/>
      <c r="K42" s="28" t="n"/>
      <c r="L42" s="28" t="n"/>
      <c r="M42" s="147" t="n"/>
      <c r="N42" s="28" t="n"/>
      <c r="O42" s="28" t="n"/>
      <c r="P42" s="28" t="n"/>
      <c r="Q42" s="28" t="n"/>
      <c r="R42" s="28" t="n"/>
      <c r="S42" s="28" t="n"/>
      <c r="T42" s="28" t="n"/>
      <c r="U42" s="28" t="n"/>
      <c r="V42" s="28" t="n"/>
      <c r="W42" s="28" t="n"/>
      <c r="X42" s="28" t="n"/>
      <c r="Y42" s="28" t="n"/>
      <c r="Z42" s="28" t="n"/>
      <c r="AA42" s="28" t="inlineStr">
        <is>
          <t xml:space="preserve"> </t>
        </is>
      </c>
    </row>
    <row r="43">
      <c r="C43" s="6" t="inlineStr">
        <is>
          <t>افتراضات التمويل</t>
        </is>
      </c>
      <c r="G43" s="11" t="n"/>
      <c r="H43" s="11" t="n"/>
      <c r="M43" s="148" t="n"/>
      <c r="R43" s="128" t="inlineStr">
        <is>
          <t>الشريحة الأولى - فعلي (جدول سداد بنك الرياض)</t>
        </is>
      </c>
    </row>
    <row r="44" customFormat="1" s="29">
      <c r="A44" s="6" t="n"/>
      <c r="B44" s="6" t="n"/>
      <c r="C44" s="6" t="n"/>
      <c r="D44" s="58" t="inlineStr">
        <is>
          <t>البند</t>
        </is>
      </c>
      <c r="E44" s="59" t="inlineStr">
        <is>
          <t>القيمة</t>
        </is>
      </c>
      <c r="F44" s="10" t="n"/>
      <c r="G44" s="11" t="n"/>
      <c r="H44" s="11" t="n"/>
      <c r="I44" s="10" t="n"/>
      <c r="J44" s="10" t="n"/>
      <c r="K44" s="10" t="n"/>
      <c r="L44" s="10" t="n"/>
      <c r="M44" s="148" t="n"/>
      <c r="N44" s="10" t="n"/>
      <c r="O44" s="10" t="n"/>
      <c r="P44" s="10" t="n"/>
    </row>
    <row r="45" customFormat="1" s="29">
      <c r="A45" s="6" t="n"/>
      <c r="B45" s="6" t="n"/>
      <c r="C45" s="6" t="n"/>
      <c r="D45" s="29" t="inlineStr">
        <is>
          <t>تكلفة المشروع</t>
        </is>
      </c>
      <c r="E45" s="10">
        <f>G40</f>
        <v/>
      </c>
      <c r="F45" s="10" t="n"/>
      <c r="G45" s="10" t="n"/>
      <c r="H45" s="10" t="n"/>
      <c r="I45" s="10" t="n"/>
      <c r="J45" s="10" t="n"/>
      <c r="K45" s="10" t="n"/>
      <c r="L45" s="10" t="n"/>
      <c r="M45" s="148" t="n"/>
      <c r="N45" s="10" t="n"/>
      <c r="O45" s="10" t="n"/>
      <c r="P45" s="10" t="n"/>
      <c r="R45" s="129" t="inlineStr">
        <is>
          <t>مبلغ الشريحة الأولى</t>
        </is>
      </c>
      <c r="S45" s="130" t="n">
        <v>4350000</v>
      </c>
    </row>
    <row r="46" customFormat="1" s="29">
      <c r="A46" s="6" t="n"/>
      <c r="B46" s="6" t="n"/>
      <c r="C46" s="6" t="n"/>
      <c r="D46" s="29" t="inlineStr">
        <is>
          <t>نسبة التمويل البنكي</t>
        </is>
      </c>
      <c r="E46" s="149">
        <f>E47/E45</f>
        <v/>
      </c>
      <c r="F46" s="10" t="n"/>
      <c r="G46" s="10" t="n"/>
      <c r="H46" s="10" t="n"/>
      <c r="I46" s="10" t="n"/>
      <c r="J46" s="10" t="n"/>
      <c r="K46" s="10" t="n"/>
      <c r="L46" s="10" t="n"/>
      <c r="M46" s="148" t="n"/>
      <c r="N46" s="10" t="n"/>
      <c r="O46" s="10" t="n"/>
      <c r="P46" s="10" t="n"/>
      <c r="R46" s="129" t="inlineStr">
        <is>
          <t>تاريخ السحب</t>
        </is>
      </c>
      <c r="S46" s="150" t="n">
        <v>46050</v>
      </c>
    </row>
    <row r="47" customFormat="1" s="29">
      <c r="A47" s="6" t="n"/>
      <c r="B47" s="6" t="n"/>
      <c r="C47" s="6" t="n"/>
      <c r="D47" s="1" t="inlineStr">
        <is>
          <t>مبلغ التمويل البنكي</t>
        </is>
      </c>
      <c r="E47" s="151" t="n">
        <v>8700000</v>
      </c>
      <c r="F47" s="10" t="n"/>
      <c r="G47" s="125" t="n"/>
      <c r="H47" s="10" t="n"/>
      <c r="I47" s="10" t="n"/>
      <c r="J47" s="10" t="n"/>
      <c r="K47" s="10" t="n"/>
      <c r="L47" s="10" t="n"/>
      <c r="M47" s="148" t="n"/>
      <c r="N47" s="10" t="n"/>
      <c r="O47" s="10" t="n"/>
      <c r="P47" s="10" t="n"/>
      <c r="R47" s="129" t="inlineStr">
        <is>
          <t>نسبة الربح السنوية (العقد)</t>
        </is>
      </c>
      <c r="S47" s="132" t="n">
        <v>0.08599999999999999</v>
      </c>
    </row>
    <row r="48" customFormat="1" s="29">
      <c r="A48" s="6" t="n"/>
      <c r="B48" s="6" t="n"/>
      <c r="C48" s="6" t="n"/>
      <c r="D48" s="6" t="inlineStr">
        <is>
          <t>نسبة التمويل الى الارض</t>
        </is>
      </c>
      <c r="E48" s="152">
        <f>E47/G28</f>
        <v/>
      </c>
      <c r="F48" s="10" t="n"/>
      <c r="G48" s="10" t="n"/>
      <c r="H48" s="10" t="n"/>
      <c r="I48" s="10" t="n"/>
      <c r="J48" s="10" t="n"/>
      <c r="K48" s="10" t="n"/>
      <c r="L48" s="10" t="n"/>
      <c r="M48" s="148" t="n"/>
      <c r="N48" s="10" t="n"/>
      <c r="O48" s="10" t="n"/>
      <c r="P48" s="10" t="n"/>
      <c r="R48" s="129" t="inlineStr">
        <is>
          <t>سنة الأساس (السنة 0 في النموذج)</t>
        </is>
      </c>
      <c r="S48" s="133" t="n">
        <v>2025</v>
      </c>
    </row>
    <row r="49" customFormat="1" s="29">
      <c r="A49" s="6" t="n"/>
      <c r="B49" s="6" t="n"/>
      <c r="C49" s="6" t="n"/>
      <c r="D49" s="33" t="inlineStr">
        <is>
          <t>نسبة المرابحة</t>
        </is>
      </c>
      <c r="E49" s="153" t="n">
        <v>0.08599999999999999</v>
      </c>
      <c r="F49" s="10" t="n"/>
      <c r="G49" s="10" t="n"/>
      <c r="H49" s="10" t="n"/>
      <c r="I49" s="10" t="n"/>
      <c r="J49" s="10" t="n"/>
      <c r="K49" s="10" t="n"/>
      <c r="L49" s="10" t="n"/>
      <c r="M49" s="148" t="n"/>
      <c r="N49" s="10" t="n"/>
      <c r="O49" s="10" t="n"/>
      <c r="P49" s="10" t="n"/>
      <c r="R49" s="129" t="inlineStr">
        <is>
          <t>سنة السحب (مساعد)</t>
        </is>
      </c>
      <c r="S49" s="134">
        <f>YEAR(S46)-$S$48</f>
        <v/>
      </c>
    </row>
    <row r="50" customFormat="1" s="29">
      <c r="A50" s="6" t="n"/>
      <c r="B50" s="6" t="n"/>
      <c r="C50" s="6" t="inlineStr">
        <is>
          <t>حركة التمويل</t>
        </is>
      </c>
      <c r="E50" s="10" t="n"/>
      <c r="F50" s="10" t="n"/>
      <c r="G50" s="10" t="n"/>
      <c r="H50" s="10" t="n"/>
      <c r="I50" s="10" t="n"/>
      <c r="J50" s="10" t="n"/>
      <c r="K50" s="10" t="n"/>
      <c r="L50" s="10" t="n"/>
      <c r="M50" s="148" t="n"/>
      <c r="N50" s="10" t="n"/>
      <c r="O50" s="10" t="n"/>
      <c r="P50" s="10" t="n"/>
    </row>
    <row r="51" customFormat="1" s="29">
      <c r="A51" s="6" t="n"/>
      <c r="B51" s="6" t="n"/>
      <c r="C51" s="6" t="n"/>
      <c r="D51" s="58" t="inlineStr">
        <is>
          <t>السنة</t>
        </is>
      </c>
      <c r="E51" s="65" t="inlineStr">
        <is>
          <t>مساعد</t>
        </is>
      </c>
      <c r="F51" s="59" t="n">
        <v>0</v>
      </c>
      <c r="G51" s="59">
        <f>F51+1</f>
        <v/>
      </c>
      <c r="H51" s="59">
        <f>G51+1</f>
        <v/>
      </c>
      <c r="I51" s="59">
        <f>H51+1</f>
        <v/>
      </c>
      <c r="J51" s="59">
        <f>I51+1</f>
        <v/>
      </c>
      <c r="K51" s="59">
        <f>J51+1</f>
        <v/>
      </c>
      <c r="L51" s="59">
        <f>K51+1</f>
        <v/>
      </c>
      <c r="M51" s="59">
        <f>L51+1</f>
        <v/>
      </c>
      <c r="N51" s="59">
        <f>M51+1</f>
        <v/>
      </c>
      <c r="O51" s="59">
        <f>N51+1</f>
        <v/>
      </c>
      <c r="P51" s="59">
        <f>O51+1</f>
        <v/>
      </c>
      <c r="R51" s="135" t="inlineStr">
        <is>
          <t>#</t>
        </is>
      </c>
      <c r="S51" s="135" t="inlineStr">
        <is>
          <t>تاريخ الاستحقاق</t>
        </is>
      </c>
      <c r="T51" s="135" t="inlineStr">
        <is>
          <t>السنة (مساعد)</t>
        </is>
      </c>
      <c r="U51" s="135" t="inlineStr">
        <is>
          <t>القسط من الأصل</t>
        </is>
      </c>
      <c r="V51" s="135" t="inlineStr">
        <is>
          <t>القسط من الربحية</t>
        </is>
      </c>
      <c r="W51" s="135" t="inlineStr">
        <is>
          <t>إجمالي القسط</t>
        </is>
      </c>
    </row>
    <row r="52" customFormat="1" s="29">
      <c r="A52" s="6" t="n"/>
      <c r="B52" s="6" t="n"/>
      <c r="C52" s="6" t="n"/>
      <c r="D52" s="29" t="inlineStr">
        <is>
          <t>اول المدة</t>
        </is>
      </c>
      <c r="E52" s="67" t="n"/>
      <c r="F52" s="30" t="n"/>
      <c r="G52" s="30" t="n">
        <v>0</v>
      </c>
      <c r="H52" s="10">
        <f>G55</f>
        <v/>
      </c>
      <c r="I52" s="10">
        <f>H55</f>
        <v/>
      </c>
      <c r="J52" s="10">
        <f>I55</f>
        <v/>
      </c>
      <c r="K52" s="10">
        <f>J55</f>
        <v/>
      </c>
      <c r="L52" s="10">
        <f>K55</f>
        <v/>
      </c>
      <c r="M52" s="148">
        <f>L55</f>
        <v/>
      </c>
      <c r="N52" s="10">
        <f>M55</f>
        <v/>
      </c>
      <c r="O52" s="10">
        <f>N55</f>
        <v/>
      </c>
      <c r="P52" s="10">
        <f>O55</f>
        <v/>
      </c>
      <c r="R52" s="134" t="n">
        <v>1</v>
      </c>
      <c r="S52" s="150" t="n">
        <v>46230</v>
      </c>
      <c r="T52" s="134">
        <f>YEAR(S52)-$S$48</f>
        <v/>
      </c>
      <c r="U52" s="154" t="n">
        <v>0</v>
      </c>
      <c r="V52" s="154" t="n">
        <v>187050</v>
      </c>
      <c r="W52" s="155">
        <f>U52+V52</f>
        <v/>
      </c>
    </row>
    <row r="53" customFormat="1" s="29">
      <c r="A53" s="6" t="n"/>
      <c r="B53" s="6" t="n"/>
      <c r="C53" s="6" t="n"/>
      <c r="D53" s="29" t="inlineStr">
        <is>
          <t>سحب</t>
        </is>
      </c>
      <c r="E53" s="67" t="n"/>
      <c r="F53" s="10" t="n"/>
      <c r="G53" s="10">
        <f>G57*$E$47</f>
        <v/>
      </c>
      <c r="H53" s="10">
        <f>H57*$E$47</f>
        <v/>
      </c>
      <c r="I53" s="10">
        <f>I57*$E$47</f>
        <v/>
      </c>
      <c r="J53" s="10">
        <f>J57*$E$47</f>
        <v/>
      </c>
      <c r="K53" s="10">
        <f>K57*$E$47</f>
        <v/>
      </c>
      <c r="L53" s="10">
        <f>L57*$E$47</f>
        <v/>
      </c>
      <c r="M53" s="10">
        <f>M57*$E$47</f>
        <v/>
      </c>
      <c r="N53" s="10">
        <f>N57*$E$47</f>
        <v/>
      </c>
      <c r="O53" s="10">
        <f>O57*$E$47</f>
        <v/>
      </c>
      <c r="P53" s="10">
        <f>P57*$E$47</f>
        <v/>
      </c>
      <c r="R53" s="134" t="n">
        <v>2</v>
      </c>
      <c r="S53" s="150" t="n">
        <v>46414</v>
      </c>
      <c r="T53" s="134">
        <f>YEAR(S53)-$S$48</f>
        <v/>
      </c>
      <c r="U53" s="154" t="n">
        <v>0</v>
      </c>
      <c r="V53" s="154" t="n">
        <v>191206.67</v>
      </c>
      <c r="W53" s="155">
        <f>U53+V53</f>
        <v/>
      </c>
    </row>
    <row r="54" customFormat="1" s="29">
      <c r="A54" s="6" t="n"/>
      <c r="B54" s="6" t="n"/>
      <c r="C54" s="6" t="n"/>
      <c r="D54" s="29" t="inlineStr">
        <is>
          <t>سداد</t>
        </is>
      </c>
      <c r="E54" s="67" t="n"/>
      <c r="F54" s="10" t="n"/>
      <c r="G54" s="10">
        <f>-G58*$E$47</f>
        <v/>
      </c>
      <c r="H54" s="10">
        <f>-H58*$E$47</f>
        <v/>
      </c>
      <c r="I54" s="10">
        <f>-I58*$E$47</f>
        <v/>
      </c>
      <c r="J54" s="10">
        <f>-J58*$E$47</f>
        <v/>
      </c>
      <c r="K54" s="10">
        <f>-K58*$E$47</f>
        <v/>
      </c>
      <c r="L54" s="10">
        <f>-L58*$E$47</f>
        <v/>
      </c>
      <c r="M54" s="10">
        <f>-M58*$E$47</f>
        <v/>
      </c>
      <c r="N54" s="10">
        <f>-N58*$E$47</f>
        <v/>
      </c>
      <c r="O54" s="10">
        <f>-O58*$E$47</f>
        <v/>
      </c>
      <c r="P54" s="10">
        <f>-P58*$E$47</f>
        <v/>
      </c>
      <c r="R54" s="134" t="n">
        <v>3</v>
      </c>
      <c r="S54" s="150" t="n">
        <v>46595</v>
      </c>
      <c r="T54" s="134">
        <f>YEAR(S54)-$S$48</f>
        <v/>
      </c>
      <c r="U54" s="154" t="n">
        <v>0</v>
      </c>
      <c r="V54" s="154" t="n">
        <v>188089.17</v>
      </c>
      <c r="W54" s="155">
        <f>U54+V54</f>
        <v/>
      </c>
    </row>
    <row r="55" customFormat="1" s="29">
      <c r="A55" s="6" t="n"/>
      <c r="B55" s="6" t="n"/>
      <c r="C55" s="6" t="n"/>
      <c r="D55" s="1" t="inlineStr">
        <is>
          <t>اخر المدة</t>
        </is>
      </c>
      <c r="E55" s="3" t="n"/>
      <c r="F55" s="62">
        <f>SUM(F52:F54)</f>
        <v/>
      </c>
      <c r="G55" s="62">
        <f>SUM(G52:G54)</f>
        <v/>
      </c>
      <c r="H55" s="62">
        <f>SUM(H52:H54)</f>
        <v/>
      </c>
      <c r="I55" s="62">
        <f>SUM(I52:I54)</f>
        <v/>
      </c>
      <c r="J55" s="62">
        <f>SUM(J52:J54)</f>
        <v/>
      </c>
      <c r="K55" s="62">
        <f>SUM(K52:K54)</f>
        <v/>
      </c>
      <c r="L55" s="62">
        <f>SUM(L52:L54)</f>
        <v/>
      </c>
      <c r="M55" s="156">
        <f>SUM(M52:M54)</f>
        <v/>
      </c>
      <c r="N55" s="62">
        <f>SUM(N52:N54)</f>
        <v/>
      </c>
      <c r="O55" s="62">
        <f>SUM(O52:O54)</f>
        <v/>
      </c>
      <c r="P55" s="62">
        <f>SUM(P52:P54)</f>
        <v/>
      </c>
      <c r="R55" s="134" t="n">
        <v>4</v>
      </c>
      <c r="S55" s="150" t="n">
        <v>46779</v>
      </c>
      <c r="T55" s="134">
        <f>YEAR(S55)-$S$48</f>
        <v/>
      </c>
      <c r="U55" s="154" t="n">
        <v>4350000</v>
      </c>
      <c r="V55" s="154" t="n">
        <v>191206.67</v>
      </c>
      <c r="W55" s="155">
        <f>U55+V55</f>
        <v/>
      </c>
    </row>
    <row r="56">
      <c r="D56" s="63" t="inlineStr">
        <is>
          <t>المرابحة</t>
        </is>
      </c>
      <c r="E56" s="123" t="n"/>
      <c r="F56" s="64">
        <f>F59-MAX(0,SUM(F52:F53)-IF(AND(F$51&gt;=$S$49,F$51&lt;=$S$57),$S$45,0))*$E$49</f>
        <v/>
      </c>
      <c r="G56" s="64">
        <f>G59-MAX(0,SUM(G52:G53)-IF(AND(G$51&gt;=$S$49,G$51&lt;=$S$57),$S$45,0))*$E$49</f>
        <v/>
      </c>
      <c r="H56" s="64">
        <f>H59-MAX(0,SUM(H52:H53)-IF(AND(H$51&gt;=$S$49,H$51&lt;=$S$57),$S$45,0))*$E$49</f>
        <v/>
      </c>
      <c r="I56" s="64">
        <f>I59-MAX(0,SUM(I52:I53)-IF(AND(I$51&gt;=$S$49,I$51&lt;=$S$57),$S$45,0))*$E$49</f>
        <v/>
      </c>
      <c r="J56" s="64">
        <f>J59-MAX(0,SUM(J52:J53)-IF(AND(J$51&gt;=$S$49,J$51&lt;=$S$57),$S$45,0))*$E$49</f>
        <v/>
      </c>
      <c r="K56" s="64">
        <f>K59-MAX(0,SUM(K52:K53)-IF(AND(K$51&gt;=$S$49,K$51&lt;=$S$57),$S$45,0))*$E$49</f>
        <v/>
      </c>
      <c r="L56" s="64">
        <f>L59-MAX(0,SUM(L52:L53)-IF(AND(L$51&gt;=$S$49,L$51&lt;=$S$57),$S$45,0))*$E$49</f>
        <v/>
      </c>
      <c r="M56" s="64">
        <f>M59-MAX(0,SUM(M52:M53)-IF(AND(M$51&gt;=$S$49,M$51&lt;=$S$57),$S$45,0))*$E$49</f>
        <v/>
      </c>
      <c r="N56" s="64">
        <f>N59-MAX(0,SUM(N52:N53)-IF(AND(N$51&gt;=$S$49,N$51&lt;=$S$57),$S$45,0))*$E$49</f>
        <v/>
      </c>
      <c r="O56" s="64">
        <f>O59-MAX(0,SUM(O52:O53)-IF(AND(O$51&gt;=$S$49,O$51&lt;=$S$57),$S$45,0))*$E$49</f>
        <v/>
      </c>
      <c r="P56" s="64">
        <f>P59-MAX(0,SUM(P52:P53)-IF(AND(P$51&gt;=$S$49,P$51&lt;=$S$57),$S$45,0))*$E$49</f>
        <v/>
      </c>
      <c r="Q56" s="29" t="n"/>
      <c r="R56" s="138" t="inlineStr">
        <is>
          <t>الإجمالي</t>
        </is>
      </c>
      <c r="S56" s="29" t="n"/>
      <c r="T56" s="29" t="n"/>
      <c r="U56" s="157">
        <f>SUM(U52:U55)</f>
        <v/>
      </c>
      <c r="V56" s="157">
        <f>SUM(V52:V55)</f>
        <v/>
      </c>
      <c r="W56" s="157">
        <f>SUM(W52:W55)</f>
        <v/>
      </c>
      <c r="X56" s="29" t="n"/>
      <c r="Y56" s="29" t="n"/>
      <c r="Z56" s="29" t="n"/>
    </row>
    <row r="57">
      <c r="B57" s="6" t="inlineStr">
        <is>
          <t xml:space="preserve"> </t>
        </is>
      </c>
      <c r="D57" s="29" t="inlineStr">
        <is>
          <t xml:space="preserve">نسبة السحب </t>
        </is>
      </c>
      <c r="E57" s="158">
        <f>SUM(F57:P57)</f>
        <v/>
      </c>
      <c r="F57" s="50" t="n">
        <v>0</v>
      </c>
      <c r="G57" s="50" t="n">
        <v>0.5</v>
      </c>
      <c r="H57" s="50" t="n">
        <v>0.5</v>
      </c>
      <c r="I57" s="50" t="n">
        <v>0</v>
      </c>
      <c r="J57" s="50" t="n">
        <v>0</v>
      </c>
      <c r="K57" s="50" t="n">
        <v>0</v>
      </c>
      <c r="L57" s="50">
        <f>L41</f>
        <v/>
      </c>
      <c r="M57" s="50">
        <f>M41</f>
        <v/>
      </c>
      <c r="N57" s="50">
        <f>N41</f>
        <v/>
      </c>
      <c r="O57" s="50">
        <f>O41</f>
        <v/>
      </c>
      <c r="P57" s="50">
        <f>P41</f>
        <v/>
      </c>
      <c r="Q57" s="29" t="n"/>
      <c r="R57" s="140" t="inlineStr">
        <is>
          <t>سنة آخر قسط (مساعد)</t>
        </is>
      </c>
      <c r="S57" s="141">
        <f>MAX(T52:T55)</f>
        <v/>
      </c>
      <c r="T57" s="29" t="n"/>
      <c r="U57" s="29" t="n"/>
      <c r="V57" s="29" t="n"/>
      <c r="W57" s="29" t="n"/>
      <c r="X57" s="29" t="n"/>
      <c r="Y57" s="29" t="n"/>
      <c r="Z57" s="29" t="n"/>
    </row>
    <row r="58">
      <c r="D58" s="33" t="inlineStr">
        <is>
          <t>نسبة سداد التمويل</t>
        </is>
      </c>
      <c r="E58" s="124">
        <f>SUM(F58:P58)</f>
        <v/>
      </c>
      <c r="F58" s="52" t="n">
        <v>0</v>
      </c>
      <c r="G58" s="52" t="n">
        <v>0</v>
      </c>
      <c r="H58" s="52" t="n">
        <v>0</v>
      </c>
      <c r="I58" s="52" t="n">
        <v>1</v>
      </c>
      <c r="J58" s="52" t="n">
        <v>0</v>
      </c>
      <c r="K58" s="52" t="n">
        <v>0</v>
      </c>
      <c r="L58" s="52" t="n">
        <v>0</v>
      </c>
      <c r="M58" s="52" t="n">
        <v>0</v>
      </c>
      <c r="N58" s="52" t="n">
        <v>0</v>
      </c>
      <c r="O58" s="52" t="n">
        <v>0</v>
      </c>
      <c r="P58" s="52" t="n">
        <v>0</v>
      </c>
      <c r="Q58" s="29" t="n"/>
      <c r="R58" s="140" t="inlineStr">
        <is>
          <t>تحقق: الأصل = مبلغ الشريحة</t>
        </is>
      </c>
      <c r="S58" s="142">
        <f>ROUND(U56-S45,2)=0</f>
        <v/>
      </c>
      <c r="T58" s="29" t="n"/>
      <c r="U58" s="29" t="n"/>
      <c r="V58" s="29" t="n"/>
      <c r="W58" s="29" t="n"/>
      <c r="X58" s="29" t="n"/>
      <c r="Y58" s="29" t="n"/>
      <c r="Z58" s="29" t="n"/>
    </row>
    <row r="59">
      <c r="D59" s="129" t="inlineStr">
        <is>
          <t>منها: مرابحة الشريحة الأولى (فعلي - من الجدول R51:W56)</t>
        </is>
      </c>
      <c r="F59" s="143">
        <f>-SUMIF($T$52:$T$55,F$51,$V$52:$V$55)</f>
        <v/>
      </c>
      <c r="G59" s="143">
        <f>-SUMIF($T$52:$T$55,G$51,$V$52:$V$55)</f>
        <v/>
      </c>
      <c r="H59" s="143">
        <f>-SUMIF($T$52:$T$55,H$51,$V$52:$V$55)</f>
        <v/>
      </c>
      <c r="I59" s="143">
        <f>-SUMIF($T$52:$T$55,I$51,$V$52:$V$55)</f>
        <v/>
      </c>
      <c r="J59" s="143">
        <f>-SUMIF($T$52:$T$55,J$51,$V$52:$V$55)</f>
        <v/>
      </c>
      <c r="K59" s="143">
        <f>-SUMIF($T$52:$T$55,K$51,$V$52:$V$55)</f>
        <v/>
      </c>
      <c r="L59" s="143">
        <f>-SUMIF($T$52:$T$55,L$51,$V$52:$V$55)</f>
        <v/>
      </c>
      <c r="M59" s="144">
        <f>-SUMIF($T$52:$T$55,M$51,$V$52:$V$55)</f>
        <v/>
      </c>
      <c r="N59" s="143">
        <f>-SUMIF($T$52:$T$55,N$51,$V$52:$V$55)</f>
        <v/>
      </c>
      <c r="O59" s="143">
        <f>-SUMIF($T$52:$T$55,O$51,$V$52:$V$55)</f>
        <v/>
      </c>
      <c r="P59" s="143">
        <f>-SUMIF($T$52:$T$55,P$51,$V$52:$V$55)</f>
        <v/>
      </c>
      <c r="Q59" s="29" t="n"/>
      <c r="R59" s="29" t="n"/>
      <c r="S59" s="29" t="n"/>
      <c r="T59" s="29" t="n"/>
      <c r="U59" s="29" t="n"/>
      <c r="V59" s="29" t="n"/>
      <c r="W59" s="29" t="n"/>
      <c r="X59" s="29" t="n"/>
      <c r="Y59" s="29" t="n"/>
      <c r="Z59" s="29" t="n"/>
    </row>
    <row r="60">
      <c r="M60" s="148" t="n"/>
      <c r="Q60" s="29" t="n"/>
      <c r="R60" s="29" t="n"/>
      <c r="S60" s="29" t="n"/>
      <c r="T60" s="29" t="n"/>
      <c r="U60" s="29" t="n"/>
      <c r="V60" s="29" t="n"/>
      <c r="W60" s="29" t="n"/>
      <c r="X60" s="29" t="n"/>
      <c r="Y60" s="29" t="n"/>
      <c r="Z60" s="29" t="n"/>
    </row>
    <row r="61">
      <c r="A61" s="26" t="inlineStr">
        <is>
          <t>رابعا | التدفقات النقدية  -  البيع على الخارطة</t>
        </is>
      </c>
      <c r="B61" s="26" t="n"/>
      <c r="C61" s="26" t="n"/>
      <c r="D61" s="27" t="n"/>
      <c r="E61" s="28" t="n"/>
      <c r="F61" s="28" t="n"/>
      <c r="G61" s="28" t="n"/>
      <c r="H61" s="28" t="n"/>
      <c r="I61" s="28" t="n"/>
      <c r="J61" s="28" t="n"/>
      <c r="K61" s="28" t="n"/>
      <c r="L61" s="28" t="n"/>
      <c r="M61" s="147" t="n"/>
      <c r="N61" s="28" t="n"/>
      <c r="O61" s="28" t="n"/>
      <c r="P61" s="28" t="n"/>
      <c r="Q61" s="28" t="n"/>
      <c r="R61" s="28" t="n"/>
      <c r="S61" s="28" t="n"/>
      <c r="T61" s="28" t="n"/>
      <c r="U61" s="28" t="n"/>
      <c r="V61" s="28" t="n"/>
      <c r="W61" s="28" t="n"/>
      <c r="X61" s="28" t="n"/>
      <c r="Y61" s="28" t="n"/>
      <c r="Z61" s="28" t="n"/>
      <c r="AA61" s="28" t="inlineStr">
        <is>
          <t xml:space="preserve"> </t>
        </is>
      </c>
    </row>
    <row r="62">
      <c r="M62" s="148" t="n"/>
      <c r="Q62" s="29" t="n"/>
      <c r="R62" s="29" t="n"/>
      <c r="S62" s="29" t="n"/>
      <c r="T62" s="29" t="n"/>
      <c r="U62" s="29" t="n"/>
      <c r="V62" s="29" t="n"/>
      <c r="W62" s="29" t="n"/>
      <c r="X62" s="29" t="n"/>
      <c r="Y62" s="29" t="n"/>
      <c r="Z62" s="29" t="n"/>
    </row>
    <row r="63">
      <c r="C63" s="48" t="n"/>
      <c r="D63" s="48" t="inlineStr">
        <is>
          <t>البند</t>
        </is>
      </c>
      <c r="E63" s="101" t="inlineStr">
        <is>
          <t>مساعد</t>
        </is>
      </c>
      <c r="F63" s="59" t="n">
        <v>0</v>
      </c>
      <c r="G63" s="59" t="n">
        <v>1</v>
      </c>
      <c r="H63" s="59">
        <f>G63+1</f>
        <v/>
      </c>
      <c r="I63" s="59">
        <f>H63+1</f>
        <v/>
      </c>
      <c r="J63" s="59">
        <f>I63+1</f>
        <v/>
      </c>
      <c r="K63" s="59">
        <f>J63+1</f>
        <v/>
      </c>
      <c r="L63" s="59">
        <f>K63+1</f>
        <v/>
      </c>
      <c r="M63" s="121">
        <f>L63+1</f>
        <v/>
      </c>
      <c r="N63" s="59">
        <f>M63+1</f>
        <v/>
      </c>
      <c r="O63" s="59">
        <f>N63+1</f>
        <v/>
      </c>
      <c r="P63" s="59">
        <f>O63+1</f>
        <v/>
      </c>
      <c r="Q63" s="29" t="n"/>
      <c r="R63" s="29" t="n"/>
      <c r="S63" s="29" t="n"/>
      <c r="T63" s="29" t="n"/>
      <c r="U63" s="29" t="n"/>
      <c r="V63" s="29" t="n"/>
      <c r="W63" s="29" t="n"/>
      <c r="X63" s="29" t="n"/>
      <c r="Y63" s="29" t="n"/>
      <c r="Z63" s="29" t="n"/>
    </row>
    <row r="64">
      <c r="C64" s="102" t="n"/>
      <c r="D64" s="102" t="inlineStr">
        <is>
          <t>بيع  تاون هاوس</t>
        </is>
      </c>
      <c r="E64" s="103" t="n"/>
      <c r="F64" s="104" t="n"/>
      <c r="G64" s="104" t="n"/>
      <c r="H64" s="104" t="n"/>
      <c r="I64" s="104" t="n"/>
      <c r="J64" s="104" t="n"/>
      <c r="K64" s="104" t="n"/>
      <c r="L64" s="104" t="n"/>
      <c r="M64" s="159" t="n"/>
      <c r="N64" s="104" t="n"/>
      <c r="O64" s="104" t="n"/>
      <c r="P64" s="104" t="n"/>
      <c r="Q64" s="29" t="n"/>
      <c r="R64" s="29" t="n"/>
      <c r="S64" s="29" t="n"/>
      <c r="T64" s="29" t="n"/>
      <c r="U64" s="29" t="n"/>
      <c r="V64" s="29" t="n"/>
      <c r="W64" s="29" t="n"/>
      <c r="X64" s="29" t="n"/>
      <c r="Y64" s="29" t="n"/>
      <c r="Z64" s="29" t="n"/>
    </row>
    <row r="65">
      <c r="C65" s="1" t="n"/>
      <c r="D65" s="2" t="inlineStr">
        <is>
          <t>نسبة المساحة المباعة</t>
        </is>
      </c>
      <c r="E65" s="122">
        <f>SUM(G65:U65)</f>
        <v/>
      </c>
      <c r="F65" s="4" t="n"/>
      <c r="G65" s="5" t="n">
        <v>0.5</v>
      </c>
      <c r="H65" s="5" t="n">
        <v>0.5</v>
      </c>
      <c r="I65" s="5" t="n">
        <v>0</v>
      </c>
      <c r="J65" s="5" t="n">
        <v>0</v>
      </c>
      <c r="K65" s="5" t="n">
        <v>0</v>
      </c>
      <c r="L65" s="5" t="n">
        <v>0</v>
      </c>
      <c r="M65" s="160" t="n">
        <v>0</v>
      </c>
      <c r="N65" s="5" t="n">
        <v>0</v>
      </c>
      <c r="O65" s="5" t="n">
        <v>0</v>
      </c>
      <c r="P65" s="5" t="n">
        <v>0</v>
      </c>
      <c r="Q65" s="29" t="n"/>
      <c r="R65" s="29" t="n"/>
      <c r="S65" s="29" t="n"/>
      <c r="T65" s="29" t="n"/>
      <c r="U65" s="29" t="n"/>
      <c r="V65" s="29" t="n"/>
      <c r="W65" s="29" t="n"/>
      <c r="X65" s="29" t="n"/>
      <c r="Y65" s="29" t="n"/>
      <c r="Z65" s="29" t="n"/>
    </row>
    <row r="66">
      <c r="D66" s="7" t="inlineStr">
        <is>
          <t>المساحات المباعة</t>
        </is>
      </c>
      <c r="E66" s="107">
        <f>E18</f>
        <v/>
      </c>
      <c r="F66" s="9" t="n"/>
      <c r="G66" s="10">
        <f>G65*$E66</f>
        <v/>
      </c>
      <c r="H66" s="10">
        <f>H65*$E66</f>
        <v/>
      </c>
      <c r="I66" s="10">
        <f>I65*$E66</f>
        <v/>
      </c>
      <c r="J66" s="10">
        <f>J65*$E66</f>
        <v/>
      </c>
      <c r="K66" s="10">
        <f>K65*$E66</f>
        <v/>
      </c>
      <c r="L66" s="10">
        <f>L65*$E66</f>
        <v/>
      </c>
      <c r="M66" s="148">
        <f>M65*$E66</f>
        <v/>
      </c>
      <c r="N66" s="10">
        <f>N65*$E66</f>
        <v/>
      </c>
      <c r="O66" s="10">
        <f>O65*$E66</f>
        <v/>
      </c>
      <c r="P66" s="10">
        <f>P65*$E66</f>
        <v/>
      </c>
      <c r="Q66" s="29" t="n"/>
      <c r="R66" s="29" t="n"/>
      <c r="S66" s="29" t="n"/>
      <c r="T66" s="29" t="n"/>
      <c r="U66" s="29" t="n"/>
      <c r="V66" s="29" t="n"/>
      <c r="W66" s="29" t="n"/>
      <c r="X66" s="29" t="n"/>
      <c r="Y66" s="29" t="n"/>
      <c r="Z66" s="29" t="n"/>
    </row>
    <row r="67">
      <c r="D67" s="7" t="inlineStr">
        <is>
          <t>متوسط سعر المتر</t>
        </is>
      </c>
      <c r="E67" s="8">
        <f>E70/E66</f>
        <v/>
      </c>
      <c r="F67" s="9" t="n"/>
      <c r="G67" s="45" t="n">
        <v>4293.962870925304</v>
      </c>
      <c r="H67" s="45" t="n">
        <v>4933.489255956732</v>
      </c>
      <c r="I67" s="45" t="n">
        <v>0</v>
      </c>
      <c r="J67" s="45" t="n">
        <v>0</v>
      </c>
      <c r="K67" s="45" t="n">
        <v>0</v>
      </c>
      <c r="L67" s="45" t="n">
        <v>0</v>
      </c>
      <c r="M67" s="161" t="n">
        <v>0</v>
      </c>
      <c r="N67" s="45" t="n">
        <v>0</v>
      </c>
      <c r="O67" s="45" t="n">
        <v>0</v>
      </c>
      <c r="P67" s="45" t="n">
        <v>0</v>
      </c>
      <c r="Q67" s="29" t="n"/>
      <c r="R67" s="29" t="n"/>
      <c r="S67" s="29" t="n"/>
      <c r="T67" s="29" t="n"/>
      <c r="U67" s="29" t="n"/>
      <c r="V67" s="29" t="n"/>
      <c r="W67" s="29" t="n"/>
      <c r="X67" s="29" t="n"/>
      <c r="Y67" s="29" t="n"/>
      <c r="Z67" s="29" t="n"/>
    </row>
    <row r="68">
      <c r="D68" s="7" t="inlineStr">
        <is>
          <t>عدد الوحدات</t>
        </is>
      </c>
      <c r="E68" s="8">
        <f>E20</f>
        <v/>
      </c>
      <c r="F68" s="9" t="n"/>
      <c r="G68" s="39">
        <f>G65*$E68</f>
        <v/>
      </c>
      <c r="H68" s="39">
        <f>H65*$E68</f>
        <v/>
      </c>
      <c r="I68" s="39">
        <f>I65*$E68</f>
        <v/>
      </c>
      <c r="J68" s="39">
        <f>J65*$E68</f>
        <v/>
      </c>
      <c r="K68" s="39">
        <f>K65*$E68</f>
        <v/>
      </c>
      <c r="L68" s="39">
        <f>L65*$E68</f>
        <v/>
      </c>
      <c r="M68" s="162">
        <f>M65*$E68</f>
        <v/>
      </c>
      <c r="N68" s="39">
        <f>N65*$E68</f>
        <v/>
      </c>
      <c r="O68" s="39">
        <f>O65*$E68</f>
        <v/>
      </c>
      <c r="P68" s="39">
        <f>P65*$E68</f>
        <v/>
      </c>
      <c r="Q68" s="29" t="n"/>
      <c r="R68" s="29" t="n"/>
      <c r="S68" s="29" t="n"/>
      <c r="T68" s="29" t="n"/>
      <c r="U68" s="29" t="n"/>
      <c r="V68" s="29" t="n"/>
      <c r="W68" s="29" t="n"/>
      <c r="X68" s="29" t="n"/>
      <c r="Y68" s="29" t="n"/>
      <c r="Z68" s="29" t="n"/>
    </row>
    <row r="69">
      <c r="D69" s="7" t="inlineStr">
        <is>
          <t>متوسط سعر القطعة</t>
        </is>
      </c>
      <c r="E69" s="8">
        <f>E67*E19</f>
        <v/>
      </c>
      <c r="F69" s="9" t="n"/>
      <c r="G69" s="11">
        <f>G67*$E19</f>
        <v/>
      </c>
      <c r="H69" s="11">
        <f>H67*$E19</f>
        <v/>
      </c>
      <c r="I69" s="11">
        <f>I67*$E19</f>
        <v/>
      </c>
      <c r="J69" s="11">
        <f>J67*$E19</f>
        <v/>
      </c>
      <c r="K69" s="11">
        <f>K67*$E19</f>
        <v/>
      </c>
      <c r="L69" s="11">
        <f>L67*$E19</f>
        <v/>
      </c>
      <c r="M69" s="11">
        <f>M67*$E19</f>
        <v/>
      </c>
      <c r="N69" s="11">
        <f>N67*$E19</f>
        <v/>
      </c>
      <c r="O69" s="11">
        <f>O67*$E19</f>
        <v/>
      </c>
      <c r="P69" s="11">
        <f>P67*$E19</f>
        <v/>
      </c>
      <c r="Q69" s="29" t="n"/>
      <c r="R69" s="29" t="n"/>
      <c r="S69" s="29" t="n"/>
      <c r="T69" s="29" t="n"/>
      <c r="U69" s="29" t="n"/>
      <c r="V69" s="29" t="n"/>
      <c r="W69" s="29" t="n"/>
      <c r="X69" s="29" t="n"/>
      <c r="Y69" s="29" t="n"/>
      <c r="Z69" s="29" t="n"/>
    </row>
    <row r="70">
      <c r="C70" s="12" t="n"/>
      <c r="D70" s="13" t="inlineStr">
        <is>
          <t>رصيد المبيعات</t>
        </is>
      </c>
      <c r="E70" s="14">
        <f>SUM(G70:R70)</f>
        <v/>
      </c>
      <c r="F70" s="15" t="n"/>
      <c r="G70" s="16">
        <f>G67*G66</f>
        <v/>
      </c>
      <c r="H70" s="16">
        <f>H67*H66</f>
        <v/>
      </c>
      <c r="I70" s="16">
        <f>I67*I66</f>
        <v/>
      </c>
      <c r="J70" s="16">
        <f>J67*J66</f>
        <v/>
      </c>
      <c r="K70" s="16">
        <f>K67*K66</f>
        <v/>
      </c>
      <c r="L70" s="16">
        <f>L67*L66</f>
        <v/>
      </c>
      <c r="M70" s="163">
        <f>M67*M66</f>
        <v/>
      </c>
      <c r="N70" s="16">
        <f>N67*N66</f>
        <v/>
      </c>
      <c r="O70" s="16">
        <f>O67*O66</f>
        <v/>
      </c>
      <c r="P70" s="16">
        <f>P67*P66</f>
        <v/>
      </c>
      <c r="Q70" s="29" t="n"/>
      <c r="R70" s="29" t="n"/>
      <c r="S70" s="29" t="n"/>
      <c r="T70" s="29" t="n"/>
      <c r="U70" s="29" t="n"/>
      <c r="V70" s="29" t="n"/>
      <c r="W70" s="29" t="n"/>
      <c r="X70" s="29" t="n"/>
      <c r="Y70" s="29" t="n"/>
      <c r="Z70" s="29" t="n"/>
    </row>
    <row r="71">
      <c r="C71" s="112" t="n"/>
      <c r="D71" s="112" t="n"/>
      <c r="E71" s="113" t="n"/>
      <c r="F71" s="114" t="n"/>
      <c r="G71" s="114" t="n"/>
      <c r="H71" s="114" t="n"/>
      <c r="I71" s="114" t="n"/>
      <c r="J71" s="114" t="n"/>
      <c r="K71" s="114" t="n"/>
      <c r="L71" s="114" t="n"/>
      <c r="M71" s="164" t="n"/>
      <c r="N71" s="114" t="n"/>
      <c r="O71" s="114" t="n"/>
      <c r="P71" s="114" t="n"/>
      <c r="Q71" s="29" t="n"/>
      <c r="R71" s="29" t="n"/>
      <c r="S71" s="29" t="n"/>
      <c r="T71" s="29" t="n"/>
      <c r="U71" s="29" t="n"/>
      <c r="V71" s="29" t="n"/>
      <c r="W71" s="29" t="n"/>
      <c r="X71" s="29" t="n"/>
      <c r="Y71" s="29" t="n"/>
      <c r="Z71" s="29" t="n"/>
    </row>
    <row r="72">
      <c r="C72" s="17" t="n"/>
      <c r="D72" s="17" t="inlineStr">
        <is>
          <t>نسبة التحصيل للبيع على الخارطة</t>
        </is>
      </c>
      <c r="E72" s="18">
        <f>IF(SUM(G72:R72)=1,1,0)</f>
        <v/>
      </c>
      <c r="F72" s="19" t="n"/>
      <c r="G72" s="20" t="n">
        <v>0.3</v>
      </c>
      <c r="H72" s="5" t="n">
        <v>0.7</v>
      </c>
      <c r="I72" s="5" t="n">
        <v>0</v>
      </c>
      <c r="J72" s="5" t="n">
        <v>0</v>
      </c>
      <c r="K72" s="5" t="n">
        <v>0</v>
      </c>
      <c r="L72" s="5" t="n">
        <v>0</v>
      </c>
      <c r="M72" s="160" t="n">
        <v>0</v>
      </c>
      <c r="N72" s="5" t="n">
        <v>0</v>
      </c>
      <c r="O72" s="5" t="n">
        <v>0</v>
      </c>
      <c r="P72" s="5" t="n">
        <v>0</v>
      </c>
      <c r="Q72" s="29" t="n"/>
      <c r="R72" s="29" t="n"/>
      <c r="S72" s="29" t="n"/>
      <c r="T72" s="29" t="n"/>
      <c r="U72" s="29" t="n"/>
      <c r="V72" s="29" t="n"/>
      <c r="W72" s="29" t="n"/>
      <c r="X72" s="29" t="n"/>
      <c r="Y72" s="29" t="n"/>
      <c r="Z72" s="29" t="n"/>
    </row>
    <row r="73">
      <c r="C73" s="112" t="n"/>
      <c r="D73" s="112" t="inlineStr">
        <is>
          <t>العام</t>
        </is>
      </c>
      <c r="E73" s="113" t="inlineStr">
        <is>
          <t>رصيد المبيعات</t>
        </is>
      </c>
      <c r="F73" s="114" t="n"/>
      <c r="G73" s="114" t="n"/>
      <c r="H73" s="114" t="n"/>
      <c r="I73" s="114" t="n"/>
      <c r="J73" s="114" t="n"/>
      <c r="K73" s="114" t="n"/>
      <c r="L73" s="114" t="n"/>
      <c r="M73" s="164" t="n"/>
      <c r="N73" s="114" t="n"/>
      <c r="O73" s="114" t="n"/>
      <c r="P73" s="114" t="n"/>
      <c r="Q73" s="29" t="n"/>
      <c r="R73" s="29" t="n"/>
      <c r="S73" s="29" t="n"/>
      <c r="T73" s="29" t="n"/>
      <c r="U73" s="29" t="n"/>
      <c r="V73" s="29" t="n"/>
      <c r="W73" s="29" t="n"/>
      <c r="X73" s="29" t="n"/>
      <c r="Y73" s="29" t="n"/>
      <c r="Z73" s="29" t="n"/>
    </row>
    <row r="74">
      <c r="C74" s="21" t="n"/>
      <c r="D74" s="21" t="n">
        <v>1</v>
      </c>
      <c r="E74" s="8">
        <f t="array" ref="E74:E85">TRANSPOSE(G70:R70)</f>
        <v/>
      </c>
      <c r="F74" s="22" t="n"/>
      <c r="G74" s="11">
        <f>G72*E74</f>
        <v/>
      </c>
      <c r="H74" s="11">
        <f>H72*E74</f>
        <v/>
      </c>
      <c r="I74" s="11">
        <f>I72*E74</f>
        <v/>
      </c>
      <c r="J74" s="11">
        <f>J72*E74</f>
        <v/>
      </c>
      <c r="K74" s="11">
        <f>K72*E74</f>
        <v/>
      </c>
      <c r="L74" s="11">
        <f>L72*E74</f>
        <v/>
      </c>
      <c r="M74" s="165">
        <f>M72*E74</f>
        <v/>
      </c>
      <c r="N74" s="11">
        <f>N72*$E74</f>
        <v/>
      </c>
      <c r="O74" s="11">
        <f>O72*$E74</f>
        <v/>
      </c>
      <c r="P74" s="11">
        <f>P72*$E74</f>
        <v/>
      </c>
      <c r="Q74" s="29" t="n"/>
      <c r="R74" s="29" t="n"/>
      <c r="S74" s="29" t="n"/>
      <c r="T74" s="29" t="n"/>
      <c r="U74" s="29" t="n"/>
      <c r="V74" s="29" t="n"/>
      <c r="W74" s="29" t="n"/>
      <c r="X74" s="29" t="n"/>
      <c r="Y74" s="29" t="n"/>
      <c r="Z74" s="29" t="n"/>
    </row>
    <row r="75">
      <c r="C75" s="21" t="n"/>
      <c r="D75" s="21">
        <f>D74+1</f>
        <v/>
      </c>
      <c r="E75" s="8" t="n">
        <v>16200000</v>
      </c>
      <c r="F75" s="22" t="n"/>
      <c r="G75" s="22" t="n"/>
      <c r="H75" s="11">
        <f>SUM(G72:H72)*E75</f>
        <v/>
      </c>
      <c r="I75" s="11">
        <f>I72*E75</f>
        <v/>
      </c>
      <c r="J75" s="11">
        <f>J72*E75</f>
        <v/>
      </c>
      <c r="K75" s="11">
        <f>K72*E75</f>
        <v/>
      </c>
      <c r="L75" s="11">
        <f>L72*E75</f>
        <v/>
      </c>
      <c r="M75" s="165">
        <f>M72*E75</f>
        <v/>
      </c>
      <c r="N75" s="11">
        <f>N72*$E75</f>
        <v/>
      </c>
      <c r="O75" s="11">
        <f>O72*$E75</f>
        <v/>
      </c>
      <c r="P75" s="11">
        <f>P72*$E75</f>
        <v/>
      </c>
      <c r="Q75" s="29" t="n"/>
      <c r="R75" s="29" t="n"/>
      <c r="S75" s="29" t="n"/>
      <c r="T75" s="29" t="n"/>
      <c r="U75" s="29" t="n"/>
      <c r="V75" s="29" t="n"/>
      <c r="W75" s="29" t="n"/>
      <c r="X75" s="29" t="n"/>
      <c r="Y75" s="29" t="n"/>
      <c r="Z75" s="29" t="n"/>
    </row>
    <row r="76">
      <c r="C76" s="21" t="n"/>
      <c r="D76" s="21">
        <f>D75+1</f>
        <v/>
      </c>
      <c r="E76" s="8" t="n">
        <v>0</v>
      </c>
      <c r="F76" s="22" t="n"/>
      <c r="G76" s="22" t="n"/>
      <c r="H76" s="22" t="n"/>
      <c r="I76" s="11">
        <f>SUM(G72:I72)*E76</f>
        <v/>
      </c>
      <c r="J76" s="11">
        <f>SUM(J72)*E76</f>
        <v/>
      </c>
      <c r="K76" s="11">
        <f>K72*$E76</f>
        <v/>
      </c>
      <c r="L76" s="11">
        <f>L72*$E76</f>
        <v/>
      </c>
      <c r="M76" s="165">
        <f>M72*$E76</f>
        <v/>
      </c>
      <c r="N76" s="11">
        <f>N72*$E76</f>
        <v/>
      </c>
      <c r="O76" s="11">
        <f>O72*$E76</f>
        <v/>
      </c>
      <c r="P76" s="11">
        <f>P72*$E76</f>
        <v/>
      </c>
      <c r="Q76" s="29" t="n"/>
      <c r="R76" s="29" t="n"/>
      <c r="S76" s="29" t="n"/>
      <c r="T76" s="29" t="n"/>
      <c r="U76" s="29" t="n"/>
      <c r="V76" s="29" t="n"/>
      <c r="W76" s="29" t="n"/>
      <c r="X76" s="29" t="n"/>
      <c r="Y76" s="29" t="n"/>
      <c r="Z76" s="29" t="n"/>
    </row>
    <row r="77">
      <c r="C77" s="21" t="n"/>
      <c r="D77" s="21">
        <f>D76+1</f>
        <v/>
      </c>
      <c r="E77" s="8" t="n">
        <v>0</v>
      </c>
      <c r="F77" s="22" t="n"/>
      <c r="G77" s="22" t="n"/>
      <c r="H77" s="22" t="n"/>
      <c r="I77" s="22" t="n"/>
      <c r="J77" s="11">
        <f>SUM(G72:J72)*$E77</f>
        <v/>
      </c>
      <c r="K77" s="11">
        <f>K72*$E77</f>
        <v/>
      </c>
      <c r="L77" s="11">
        <f>L72*$E77</f>
        <v/>
      </c>
      <c r="M77" s="165">
        <f>M72*$E77</f>
        <v/>
      </c>
      <c r="N77" s="11">
        <f>N72*$E77</f>
        <v/>
      </c>
      <c r="O77" s="11">
        <f>O72*$E77</f>
        <v/>
      </c>
      <c r="P77" s="11">
        <f>P72*$E77</f>
        <v/>
      </c>
      <c r="Q77" s="29" t="n"/>
      <c r="R77" s="29" t="n"/>
      <c r="S77" s="29" t="n"/>
      <c r="T77" s="29" t="n"/>
      <c r="U77" s="29" t="n"/>
      <c r="V77" s="29" t="n"/>
      <c r="W77" s="29" t="n"/>
      <c r="X77" s="29" t="n"/>
      <c r="Y77" s="29" t="n"/>
      <c r="Z77" s="29" t="n"/>
    </row>
    <row r="78">
      <c r="C78" s="21" t="n"/>
      <c r="D78" s="21">
        <f>D77+1</f>
        <v/>
      </c>
      <c r="E78" s="8" t="n">
        <v>0</v>
      </c>
      <c r="F78" s="22" t="n"/>
      <c r="G78" s="22" t="n"/>
      <c r="H78" s="22" t="n"/>
      <c r="I78" s="22" t="n"/>
      <c r="J78" s="22" t="n"/>
      <c r="K78" s="11">
        <f>SUM(G72:K72)*E78</f>
        <v/>
      </c>
      <c r="L78" s="11">
        <f>L72*E78</f>
        <v/>
      </c>
      <c r="M78" s="165" t="n">
        <v>0</v>
      </c>
      <c r="N78" s="11" t="n">
        <v>0</v>
      </c>
      <c r="O78" s="11" t="n">
        <v>0</v>
      </c>
      <c r="P78" s="11" t="n">
        <v>0</v>
      </c>
      <c r="Q78" s="29" t="n"/>
      <c r="R78" s="29" t="n"/>
      <c r="S78" s="29" t="n"/>
      <c r="T78" s="29" t="n"/>
      <c r="U78" s="29" t="n"/>
      <c r="V78" s="29" t="n"/>
      <c r="W78" s="29" t="n"/>
      <c r="X78" s="29" t="n"/>
      <c r="Y78" s="29" t="n"/>
      <c r="Z78" s="29" t="n"/>
    </row>
    <row r="79">
      <c r="C79" s="21" t="n"/>
      <c r="D79" s="21">
        <f>D78+1</f>
        <v/>
      </c>
      <c r="E79" s="8" t="n">
        <v>0</v>
      </c>
      <c r="F79" s="22" t="n"/>
      <c r="G79" s="22" t="n"/>
      <c r="H79" s="22" t="n"/>
      <c r="I79" s="22" t="n"/>
      <c r="J79" s="22" t="n"/>
      <c r="K79" s="22" t="n"/>
      <c r="L79" s="11">
        <f>SUM(G72:L72)*E79</f>
        <v/>
      </c>
      <c r="M79" s="165" t="n">
        <v>0</v>
      </c>
      <c r="N79" s="11" t="n">
        <v>0</v>
      </c>
      <c r="O79" s="11" t="n">
        <v>0</v>
      </c>
      <c r="P79" s="11" t="n">
        <v>0</v>
      </c>
      <c r="Q79" s="29" t="n"/>
      <c r="R79" s="29" t="n"/>
      <c r="S79" s="29" t="n"/>
      <c r="T79" s="29" t="n"/>
      <c r="U79" s="29" t="n"/>
      <c r="V79" s="29" t="n"/>
      <c r="W79" s="29" t="n"/>
      <c r="X79" s="29" t="n"/>
      <c r="Y79" s="29" t="n"/>
      <c r="Z79" s="29" t="n"/>
    </row>
    <row r="80">
      <c r="C80" s="21" t="n"/>
      <c r="D80" s="21">
        <f>D79+1</f>
        <v/>
      </c>
      <c r="E80" s="8" t="n">
        <v>0</v>
      </c>
      <c r="F80" s="22" t="n"/>
      <c r="G80" s="22" t="n"/>
      <c r="H80" s="22" t="n"/>
      <c r="I80" s="22" t="n"/>
      <c r="J80" s="22" t="n"/>
      <c r="K80" s="22" t="n"/>
      <c r="L80" s="22" t="n"/>
      <c r="M80" s="165">
        <f>SUM(G72:M72)*E80</f>
        <v/>
      </c>
      <c r="N80" s="11" t="n">
        <v>0</v>
      </c>
      <c r="O80" s="11" t="n">
        <v>0</v>
      </c>
      <c r="P80" s="11" t="n">
        <v>0</v>
      </c>
      <c r="Q80" s="29" t="n"/>
      <c r="R80" s="29" t="n"/>
      <c r="S80" s="29" t="n"/>
      <c r="T80" s="29" t="n"/>
      <c r="U80" s="29" t="n"/>
      <c r="V80" s="29" t="n"/>
      <c r="W80" s="29" t="n"/>
      <c r="X80" s="29" t="n"/>
      <c r="Y80" s="29" t="n"/>
      <c r="Z80" s="29" t="n"/>
    </row>
    <row r="81">
      <c r="C81" s="21" t="n"/>
      <c r="D81" s="21">
        <f>D80+1</f>
        <v/>
      </c>
      <c r="E81" s="8" t="n">
        <v>0</v>
      </c>
      <c r="F81" s="22" t="n"/>
      <c r="G81" s="22" t="n"/>
      <c r="H81" s="22" t="n"/>
      <c r="I81" s="22" t="n"/>
      <c r="J81" s="22" t="n"/>
      <c r="K81" s="22" t="n"/>
      <c r="L81" s="22" t="n"/>
      <c r="M81" s="166" t="n"/>
      <c r="N81" s="11">
        <f>SUM(G72:N72)*E81</f>
        <v/>
      </c>
      <c r="O81" s="11" t="n">
        <v>0</v>
      </c>
      <c r="P81" s="11" t="n">
        <v>0</v>
      </c>
      <c r="Q81" s="29" t="n"/>
      <c r="R81" s="29" t="n"/>
      <c r="S81" s="29" t="n"/>
      <c r="T81" s="29" t="n"/>
      <c r="U81" s="29" t="n"/>
      <c r="V81" s="29" t="n"/>
      <c r="W81" s="29" t="n"/>
      <c r="X81" s="29" t="n"/>
      <c r="Y81" s="29" t="n"/>
      <c r="Z81" s="29" t="n"/>
    </row>
    <row r="82">
      <c r="C82" s="21" t="n"/>
      <c r="D82" s="21">
        <f>D81+1</f>
        <v/>
      </c>
      <c r="E82" s="8" t="n">
        <v>0</v>
      </c>
      <c r="F82" s="22" t="n"/>
      <c r="G82" s="22" t="n"/>
      <c r="H82" s="22" t="n"/>
      <c r="I82" s="22" t="n"/>
      <c r="J82" s="22" t="n"/>
      <c r="K82" s="22" t="n"/>
      <c r="L82" s="22" t="n"/>
      <c r="M82" s="166" t="n"/>
      <c r="N82" s="22" t="n"/>
      <c r="O82" s="11">
        <f>SUM(G72:O72)*E82</f>
        <v/>
      </c>
      <c r="P82" s="11">
        <f>SUM(H72:P72)*F82</f>
        <v/>
      </c>
      <c r="Q82" s="29" t="n"/>
      <c r="R82" s="29" t="n"/>
      <c r="S82" s="29" t="n"/>
      <c r="T82" s="29" t="n"/>
      <c r="U82" s="29" t="n"/>
      <c r="V82" s="29" t="n"/>
      <c r="W82" s="29" t="n"/>
      <c r="X82" s="29" t="n"/>
      <c r="Y82" s="29" t="n"/>
      <c r="Z82" s="29" t="n"/>
    </row>
    <row r="83">
      <c r="C83" s="21" t="n"/>
      <c r="D83" s="21">
        <f>D82+1</f>
        <v/>
      </c>
      <c r="E83" s="8" t="n">
        <v>0</v>
      </c>
      <c r="F83" s="22" t="n"/>
      <c r="G83" s="22" t="n"/>
      <c r="H83" s="22" t="n"/>
      <c r="I83" s="22" t="n"/>
      <c r="J83" s="22" t="n"/>
      <c r="K83" s="22" t="n"/>
      <c r="L83" s="22" t="n"/>
      <c r="M83" s="166" t="n"/>
      <c r="N83" s="22" t="n"/>
      <c r="O83" s="22" t="n"/>
      <c r="P83" s="11">
        <f>SUM(G72:P72)*E83</f>
        <v/>
      </c>
      <c r="Q83" s="29" t="n"/>
      <c r="R83" s="29" t="n"/>
      <c r="S83" s="29" t="n"/>
      <c r="T83" s="29" t="n"/>
      <c r="U83" s="29" t="n"/>
      <c r="V83" s="29" t="n"/>
      <c r="W83" s="29" t="n"/>
      <c r="X83" s="29" t="n"/>
      <c r="Y83" s="29" t="n"/>
      <c r="Z83" s="29" t="n"/>
    </row>
    <row r="84">
      <c r="C84" s="21" t="n"/>
      <c r="D84" s="21">
        <f>D83+1</f>
        <v/>
      </c>
      <c r="E84" s="8" t="n">
        <v>0</v>
      </c>
      <c r="F84" s="22" t="n"/>
      <c r="G84" s="22" t="n"/>
      <c r="H84" s="22" t="n"/>
      <c r="I84" s="22" t="n"/>
      <c r="J84" s="22" t="n"/>
      <c r="K84" s="22" t="n"/>
      <c r="L84" s="22" t="n"/>
      <c r="M84" s="166" t="n"/>
      <c r="N84" s="22" t="n"/>
      <c r="O84" s="22" t="n"/>
      <c r="P84" s="22" t="n"/>
      <c r="Q84" s="29" t="n"/>
      <c r="R84" s="29" t="n"/>
      <c r="S84" s="29" t="n"/>
      <c r="T84" s="29" t="n"/>
      <c r="U84" s="29" t="n"/>
      <c r="V84" s="29" t="n"/>
      <c r="W84" s="29" t="n"/>
      <c r="X84" s="29" t="n"/>
      <c r="Y84" s="29" t="n"/>
      <c r="Z84" s="29" t="n"/>
    </row>
    <row r="85">
      <c r="C85" s="21" t="n"/>
      <c r="D85" s="21">
        <f>D84+1</f>
        <v/>
      </c>
      <c r="E85" s="8" t="n">
        <v>0</v>
      </c>
      <c r="F85" s="22" t="n"/>
      <c r="G85" s="22" t="n"/>
      <c r="H85" s="22" t="n"/>
      <c r="I85" s="22" t="n"/>
      <c r="J85" s="22" t="n"/>
      <c r="K85" s="22" t="n"/>
      <c r="L85" s="22" t="n"/>
      <c r="M85" s="166" t="n"/>
      <c r="N85" s="22" t="n"/>
      <c r="O85" s="22" t="n"/>
      <c r="P85" s="22" t="n"/>
      <c r="Q85" s="29" t="n"/>
      <c r="R85" s="29" t="n"/>
      <c r="S85" s="29" t="n"/>
      <c r="T85" s="29" t="n"/>
      <c r="U85" s="29" t="n"/>
      <c r="V85" s="29" t="n"/>
      <c r="W85" s="29" t="n"/>
      <c r="X85" s="29" t="n"/>
      <c r="Y85" s="29" t="n"/>
      <c r="Z85" s="29" t="n"/>
    </row>
    <row r="86">
      <c r="C86" s="117" t="n"/>
      <c r="D86" s="117" t="inlineStr">
        <is>
          <t>تحصيل مبيعات الشقق السكنية</t>
        </is>
      </c>
      <c r="E86" s="118">
        <f>SUM(E74:E85)</f>
        <v/>
      </c>
      <c r="F86" s="119" t="n"/>
      <c r="G86" s="119">
        <f>SUM(G74:G85)</f>
        <v/>
      </c>
      <c r="H86" s="119">
        <f>SUM(H74:H85)</f>
        <v/>
      </c>
      <c r="I86" s="119">
        <f>SUM(I74:I85)</f>
        <v/>
      </c>
      <c r="J86" s="119">
        <f>SUM(J74:J85)</f>
        <v/>
      </c>
      <c r="K86" s="119">
        <f>SUM(K74:K85)</f>
        <v/>
      </c>
      <c r="L86" s="119">
        <f>SUM(L74:L85)</f>
        <v/>
      </c>
      <c r="M86" s="167">
        <f>SUM(M74:M85)</f>
        <v/>
      </c>
      <c r="N86" s="119">
        <f>SUM(N74:N85)</f>
        <v/>
      </c>
      <c r="O86" s="119">
        <f>SUM(O74:O85)</f>
        <v/>
      </c>
      <c r="P86" s="119">
        <f>SUM(P74:P85)</f>
        <v/>
      </c>
      <c r="Q86" s="29" t="n"/>
      <c r="R86" s="29" t="n"/>
      <c r="S86" s="29" t="n"/>
      <c r="T86" s="29" t="n"/>
      <c r="U86" s="29" t="n"/>
      <c r="V86" s="29" t="n"/>
      <c r="W86" s="29" t="n"/>
      <c r="X86" s="29" t="n"/>
      <c r="Y86" s="29" t="n"/>
      <c r="Z86" s="29" t="n"/>
    </row>
    <row r="87" customFormat="1" s="29">
      <c r="A87" s="6" t="n"/>
      <c r="B87" s="6" t="n"/>
      <c r="C87" s="6" t="n"/>
      <c r="D87" s="6" t="n"/>
      <c r="E87" s="6" t="n"/>
      <c r="F87" s="6" t="n"/>
      <c r="G87" s="6" t="n"/>
      <c r="H87" s="6" t="n"/>
      <c r="I87" s="6" t="n"/>
      <c r="J87" s="6" t="n"/>
      <c r="K87" s="6" t="n"/>
      <c r="L87" s="6" t="n"/>
      <c r="M87" s="6" t="n"/>
      <c r="N87" s="6" t="n"/>
      <c r="O87" s="6" t="n"/>
      <c r="P87" s="6" t="n"/>
    </row>
    <row r="88" customFormat="1" s="29">
      <c r="A88" s="6" t="n"/>
      <c r="B88" s="6" t="n"/>
      <c r="C88" s="54" t="inlineStr">
        <is>
          <t>تكاليف المشروع</t>
        </is>
      </c>
      <c r="D88" s="55" t="n"/>
      <c r="E88" s="66" t="n"/>
      <c r="F88" s="55" t="n">
        <v>0</v>
      </c>
      <c r="G88" s="55" t="n">
        <v>1</v>
      </c>
      <c r="H88" s="55">
        <f>G88+1</f>
        <v/>
      </c>
      <c r="I88" s="55">
        <f>H88+1</f>
        <v/>
      </c>
      <c r="J88" s="55">
        <f>I88+1</f>
        <v/>
      </c>
      <c r="K88" s="55">
        <f>J88+1</f>
        <v/>
      </c>
      <c r="L88" s="55">
        <f>K88+1</f>
        <v/>
      </c>
      <c r="M88" s="55">
        <f>L88+1</f>
        <v/>
      </c>
      <c r="N88" s="55">
        <f>M88+1</f>
        <v/>
      </c>
      <c r="O88" s="55">
        <f>N88+1</f>
        <v/>
      </c>
      <c r="P88" s="55">
        <f>O88+1</f>
        <v/>
      </c>
    </row>
    <row r="89" customFormat="1" s="29">
      <c r="A89" s="6" t="n"/>
      <c r="B89" s="6" t="n"/>
      <c r="C89" s="90" t="n"/>
      <c r="D89" s="91" t="inlineStr">
        <is>
          <t>فترات التطوير</t>
        </is>
      </c>
      <c r="E89" s="89" t="n"/>
      <c r="F89" s="92">
        <f>IF(SUM(F90,F92)&gt;0,1,0)</f>
        <v/>
      </c>
      <c r="G89" s="92">
        <f>IF(SUM(G90,G92)&gt;0,1,0)</f>
        <v/>
      </c>
      <c r="H89" s="92">
        <f>IF(SUM(H90,H92)&gt;0,1,0)</f>
        <v/>
      </c>
      <c r="I89" s="92">
        <f>IF(SUM(I90,I92)&gt;0,1,0)</f>
        <v/>
      </c>
      <c r="J89" s="92">
        <f>IF(SUM(J90,J92)&gt;0,1,0)</f>
        <v/>
      </c>
      <c r="K89" s="92">
        <f>IF(SUM(K90,K92)&gt;0,1,0)</f>
        <v/>
      </c>
      <c r="L89" s="92">
        <f>IF(SUM(L90,L92)&gt;0,1,0)</f>
        <v/>
      </c>
      <c r="M89" s="92">
        <f>IF(SUM(M90,M92)&gt;0,1,0)</f>
        <v/>
      </c>
      <c r="N89" s="92">
        <f>IF(SUM(N90,N92)&gt;0,1,0)</f>
        <v/>
      </c>
      <c r="O89" s="92">
        <f>IF(SUM(O90,O92)&gt;0,1,0)</f>
        <v/>
      </c>
      <c r="P89" s="92">
        <f>IF(SUM(P90,P92)&gt;0,1,0)</f>
        <v/>
      </c>
    </row>
    <row r="90" customFormat="1" s="29">
      <c r="A90" s="6" t="n"/>
      <c r="B90" s="6" t="n"/>
      <c r="C90" s="6" t="n"/>
      <c r="D90" s="29" t="inlineStr">
        <is>
          <t>نسبة توزيع تكلفة الأرض</t>
        </is>
      </c>
      <c r="E90" s="69">
        <f>SUM(F90:P90)</f>
        <v/>
      </c>
      <c r="F90" s="50" t="n">
        <v>1</v>
      </c>
      <c r="G90" s="50" t="n">
        <v>0</v>
      </c>
      <c r="H90" s="50" t="n">
        <v>0</v>
      </c>
      <c r="I90" s="50" t="n">
        <v>0</v>
      </c>
      <c r="J90" s="50" t="n">
        <v>0</v>
      </c>
      <c r="K90" s="50" t="n">
        <v>0</v>
      </c>
      <c r="L90" s="50" t="n">
        <v>0</v>
      </c>
      <c r="M90" s="50" t="n">
        <v>0</v>
      </c>
      <c r="N90" s="50" t="n">
        <v>0</v>
      </c>
      <c r="O90" s="50" t="n">
        <v>0</v>
      </c>
      <c r="P90" s="50" t="n">
        <v>0</v>
      </c>
    </row>
    <row r="91" customFormat="1" s="29">
      <c r="A91" s="6" t="n"/>
      <c r="B91" s="6" t="n"/>
      <c r="C91" s="6" t="n"/>
      <c r="D91" s="29" t="inlineStr">
        <is>
          <t>تكلفة الأرض</t>
        </is>
      </c>
      <c r="E91" s="67">
        <f>G30</f>
        <v/>
      </c>
      <c r="F91" s="10">
        <f>F90*-$E91</f>
        <v/>
      </c>
      <c r="G91" s="10">
        <f>G90*-$E91</f>
        <v/>
      </c>
      <c r="H91" s="10">
        <f>H90*-$E91</f>
        <v/>
      </c>
      <c r="I91" s="10">
        <f>I90*-$E91</f>
        <v/>
      </c>
      <c r="J91" s="10">
        <f>J90*-$E91</f>
        <v/>
      </c>
      <c r="K91" s="10">
        <f>K90*-$E91</f>
        <v/>
      </c>
      <c r="L91" s="10">
        <f>L90*-$E91</f>
        <v/>
      </c>
      <c r="M91" s="10">
        <f>M90*-$E91</f>
        <v/>
      </c>
      <c r="N91" s="10">
        <f>N90*-$E91</f>
        <v/>
      </c>
      <c r="O91" s="10">
        <f>O90*-$E91</f>
        <v/>
      </c>
      <c r="P91" s="10">
        <f>P90*-$E91</f>
        <v/>
      </c>
    </row>
    <row r="92" customFormat="1" s="29">
      <c r="A92" s="6" t="n"/>
      <c r="B92" s="6" t="n"/>
      <c r="C92" s="6" t="n"/>
      <c r="D92" s="29" t="inlineStr">
        <is>
          <t>نسبة تكاليف البناء و التطوير</t>
        </is>
      </c>
      <c r="E92" s="69">
        <f>SUM(F92:P92)</f>
        <v/>
      </c>
      <c r="F92" s="50" t="n">
        <v>0</v>
      </c>
      <c r="G92" s="50" t="n">
        <v>0.5</v>
      </c>
      <c r="H92" s="50" t="n">
        <v>0.5</v>
      </c>
      <c r="I92" s="50" t="n">
        <v>0</v>
      </c>
      <c r="J92" s="50" t="n">
        <v>0</v>
      </c>
      <c r="K92" s="50" t="n">
        <v>0</v>
      </c>
      <c r="L92" s="50" t="n">
        <v>0</v>
      </c>
      <c r="M92" s="50" t="n">
        <v>0</v>
      </c>
      <c r="N92" s="50" t="n">
        <v>0</v>
      </c>
      <c r="O92" s="50" t="n">
        <v>0</v>
      </c>
      <c r="P92" s="50" t="n">
        <v>0</v>
      </c>
    </row>
    <row r="93" customFormat="1" s="29">
      <c r="A93" s="6" t="n"/>
      <c r="B93" s="6" t="n"/>
      <c r="C93" s="6" t="n"/>
      <c r="D93" s="29" t="inlineStr">
        <is>
          <t>مبالغ تكاليف البناء و التطوير</t>
        </is>
      </c>
      <c r="E93" s="67">
        <f>G36+G39</f>
        <v/>
      </c>
      <c r="F93" s="10" t="n">
        <v>0</v>
      </c>
      <c r="G93" s="10">
        <f>G92*-$E93</f>
        <v/>
      </c>
      <c r="H93" s="10">
        <f>H92*-$E93</f>
        <v/>
      </c>
      <c r="I93" s="10">
        <f>I92*-$E93</f>
        <v/>
      </c>
      <c r="J93" s="10">
        <f>J92*-$E93</f>
        <v/>
      </c>
      <c r="K93" s="10">
        <f>K92*-$E93</f>
        <v/>
      </c>
      <c r="L93" s="10">
        <f>L92*-$E93</f>
        <v/>
      </c>
      <c r="M93" s="10">
        <f>M92*-$E93</f>
        <v/>
      </c>
      <c r="N93" s="10">
        <f>N92*-$E93</f>
        <v/>
      </c>
      <c r="O93" s="10">
        <f>O92*-$E93</f>
        <v/>
      </c>
      <c r="P93" s="10">
        <f>P92*-$E93</f>
        <v/>
      </c>
    </row>
    <row r="94" customFormat="1" s="29">
      <c r="A94" s="6" t="n"/>
      <c r="B94" s="6" t="n"/>
      <c r="C94" s="12" t="n"/>
      <c r="D94" s="70" t="inlineStr">
        <is>
          <t>اجمالي تكاليف التطوير</t>
        </is>
      </c>
      <c r="E94" s="71">
        <f>SUM(F94:P94)</f>
        <v/>
      </c>
      <c r="F94" s="72">
        <f>SUM(F91,F93)</f>
        <v/>
      </c>
      <c r="G94" s="72">
        <f>SUM(G91,G93)</f>
        <v/>
      </c>
      <c r="H94" s="72">
        <f>SUM(H91,H93)</f>
        <v/>
      </c>
      <c r="I94" s="72">
        <f>SUM(I91,I93)</f>
        <v/>
      </c>
      <c r="J94" s="72">
        <f>SUM(J91,J93)</f>
        <v/>
      </c>
      <c r="K94" s="72">
        <f>SUM(K91,K93)</f>
        <v/>
      </c>
      <c r="L94" s="72">
        <f>SUM(L91,L93)</f>
        <v/>
      </c>
      <c r="M94" s="72">
        <f>SUM(M91,M93)</f>
        <v/>
      </c>
      <c r="N94" s="72">
        <f>SUM(N91,N93)</f>
        <v/>
      </c>
      <c r="O94" s="72">
        <f>SUM(O91,O93)</f>
        <v/>
      </c>
      <c r="P94" s="72">
        <f>SUM(P91,P93)</f>
        <v/>
      </c>
    </row>
    <row r="95" customFormat="1" s="84">
      <c r="C95" s="85" t="n"/>
      <c r="D95" s="86" t="inlineStr">
        <is>
          <t>رصيد التكاليف التراكمي</t>
        </is>
      </c>
      <c r="E95" s="87">
        <f>MIN(F95:P95)</f>
        <v/>
      </c>
      <c r="F95" s="88">
        <f>F94</f>
        <v/>
      </c>
      <c r="G95" s="88">
        <f>G94+F95</f>
        <v/>
      </c>
      <c r="H95" s="88">
        <f>H94+G95</f>
        <v/>
      </c>
      <c r="I95" s="88">
        <f>I94+H95</f>
        <v/>
      </c>
      <c r="J95" s="88">
        <f>J94+I95</f>
        <v/>
      </c>
      <c r="K95" s="88">
        <f>K94+J95</f>
        <v/>
      </c>
      <c r="L95" s="88">
        <f>L94+K95</f>
        <v/>
      </c>
      <c r="M95" s="88">
        <f>M94+L95</f>
        <v/>
      </c>
      <c r="N95" s="88">
        <f>N94+M95</f>
        <v/>
      </c>
      <c r="O95" s="88">
        <f>O94+N95</f>
        <v/>
      </c>
      <c r="P95" s="88">
        <f>P94+O95</f>
        <v/>
      </c>
      <c r="Q95" s="29" t="n"/>
      <c r="R95" s="29" t="n"/>
      <c r="S95" s="29" t="n"/>
      <c r="T95" s="29" t="n"/>
      <c r="U95" s="29" t="n"/>
      <c r="V95" s="29" t="n"/>
      <c r="W95" s="29" t="n"/>
      <c r="X95" s="29" t="n"/>
      <c r="Y95" s="29" t="n"/>
      <c r="Z95" s="29" t="n"/>
    </row>
    <row r="96" customFormat="1" s="29">
      <c r="A96" s="6" t="n"/>
      <c r="B96" s="6" t="n"/>
      <c r="C96" s="54" t="inlineStr">
        <is>
          <t>رسوم الشركة المالية ( الحفظ و الإدارة )</t>
        </is>
      </c>
      <c r="D96" s="55" t="n"/>
      <c r="E96" s="66" t="n"/>
      <c r="F96" s="55" t="n">
        <v>0</v>
      </c>
      <c r="G96" s="55" t="n">
        <v>1</v>
      </c>
      <c r="H96" s="55">
        <f>G96+1</f>
        <v/>
      </c>
      <c r="I96" s="55">
        <f>H96+1</f>
        <v/>
      </c>
      <c r="J96" s="55">
        <f>I96+1</f>
        <v/>
      </c>
      <c r="K96" s="55">
        <f>J96+1</f>
        <v/>
      </c>
      <c r="L96" s="55">
        <f>K96+1</f>
        <v/>
      </c>
      <c r="M96" s="55">
        <f>L96+1</f>
        <v/>
      </c>
      <c r="N96" s="55">
        <f>M96+1</f>
        <v/>
      </c>
      <c r="O96" s="55">
        <f>N96+1</f>
        <v/>
      </c>
      <c r="P96" s="55">
        <f>O96+1</f>
        <v/>
      </c>
    </row>
    <row r="97" customFormat="1" s="29">
      <c r="A97" s="6" t="n"/>
      <c r="B97" s="6" t="n"/>
      <c r="C97" s="6" t="n"/>
      <c r="D97" s="29" t="inlineStr">
        <is>
          <t>هل يوجد صندوق ؟ ( نعم =1/ لا=0)</t>
        </is>
      </c>
      <c r="E97" s="73" t="n">
        <v>1</v>
      </c>
      <c r="F97" s="10" t="n"/>
      <c r="G97" s="10" t="n"/>
      <c r="H97" s="10" t="n"/>
      <c r="I97" s="10" t="n"/>
      <c r="J97" s="10" t="n"/>
      <c r="K97" s="10" t="n"/>
      <c r="L97" s="10" t="n"/>
      <c r="M97" s="10" t="n"/>
      <c r="N97" s="10" t="n"/>
      <c r="O97" s="10" t="n"/>
      <c r="P97" s="10" t="n"/>
    </row>
    <row r="98" customFormat="1" s="29">
      <c r="A98" s="6" t="n"/>
      <c r="B98" s="6" t="n"/>
      <c r="C98" s="6" t="n"/>
      <c r="D98" s="74" t="inlineStr">
        <is>
          <t>تأسيس الصندوق</t>
        </is>
      </c>
      <c r="E98" s="75" t="n">
        <v>0</v>
      </c>
      <c r="F98" s="76">
        <f>-E98</f>
        <v/>
      </c>
      <c r="H98" s="10" t="n"/>
      <c r="I98" s="10" t="n"/>
      <c r="J98" s="10" t="n"/>
      <c r="K98" s="10" t="n"/>
      <c r="L98" s="10" t="n"/>
      <c r="M98" s="10" t="n"/>
      <c r="N98" s="10" t="n"/>
      <c r="O98" s="10" t="n"/>
      <c r="P98" s="10" t="n"/>
    </row>
    <row r="99" customFormat="1" s="29">
      <c r="A99" s="6" t="n"/>
      <c r="B99" s="6" t="n"/>
      <c r="C99" s="6" t="n"/>
      <c r="D99" s="74" t="inlineStr">
        <is>
          <t>كنسبة من راس المال المستثمر</t>
        </is>
      </c>
      <c r="E99" s="75" t="n">
        <v>0</v>
      </c>
      <c r="F99" s="10" t="n"/>
      <c r="G99" s="10" t="n">
        <v>0</v>
      </c>
      <c r="H99" s="10" t="n">
        <v>0</v>
      </c>
      <c r="I99" s="10" t="n">
        <v>0</v>
      </c>
      <c r="J99" s="10" t="n">
        <v>0</v>
      </c>
      <c r="K99" s="10" t="n">
        <v>0</v>
      </c>
      <c r="L99" s="10" t="n">
        <v>0</v>
      </c>
      <c r="M99" s="10" t="n">
        <v>0</v>
      </c>
      <c r="N99" s="10" t="n">
        <v>0</v>
      </c>
      <c r="O99" s="10" t="n">
        <v>0</v>
      </c>
      <c r="P99" s="10" t="n">
        <v>0</v>
      </c>
    </row>
    <row r="100" customFormat="1" s="29">
      <c r="A100" s="6" t="n"/>
      <c r="B100" s="6" t="n"/>
      <c r="C100" s="12" t="n"/>
      <c r="D100" s="70" t="inlineStr">
        <is>
          <t>رسوم الشركة المالية</t>
        </is>
      </c>
      <c r="E100" s="71" t="n"/>
      <c r="F100" s="72">
        <f>SUM(F97:F99)</f>
        <v/>
      </c>
      <c r="G100" s="72">
        <f>SUM(G97:G99)</f>
        <v/>
      </c>
      <c r="H100" s="72">
        <f>SUM(H97:H99)</f>
        <v/>
      </c>
      <c r="I100" s="72">
        <f>SUM(I97:I99)</f>
        <v/>
      </c>
      <c r="J100" s="72">
        <f>SUM(J97:J99)</f>
        <v/>
      </c>
      <c r="K100" s="72">
        <f>SUM(K97:K99)</f>
        <v/>
      </c>
      <c r="L100" s="72">
        <f>SUM(L97:L99)</f>
        <v/>
      </c>
      <c r="M100" s="72">
        <f>SUM(M97:M99)</f>
        <v/>
      </c>
      <c r="N100" s="72">
        <f>SUM(N97:N99)</f>
        <v/>
      </c>
      <c r="O100" s="72">
        <f>SUM(O97:O99)</f>
        <v/>
      </c>
      <c r="P100" s="72">
        <f>SUM(P97:P99)</f>
        <v/>
      </c>
    </row>
    <row r="101" customFormat="1" s="29">
      <c r="A101" s="6" t="n"/>
      <c r="B101" s="6" t="n"/>
      <c r="C101" s="54" t="inlineStr">
        <is>
          <t>التمويل البنكي</t>
        </is>
      </c>
      <c r="D101" s="55" t="n"/>
      <c r="E101" s="66" t="n"/>
      <c r="F101" s="55" t="n">
        <v>0</v>
      </c>
      <c r="G101" s="55" t="n">
        <v>1</v>
      </c>
      <c r="H101" s="55">
        <f>G101+1</f>
        <v/>
      </c>
      <c r="I101" s="55">
        <f>H101+1</f>
        <v/>
      </c>
      <c r="J101" s="55">
        <f>I101+1</f>
        <v/>
      </c>
      <c r="K101" s="55">
        <f>J101+1</f>
        <v/>
      </c>
      <c r="L101" s="55">
        <f>K101+1</f>
        <v/>
      </c>
      <c r="M101" s="55">
        <f>L101+1</f>
        <v/>
      </c>
      <c r="N101" s="55">
        <f>M101+1</f>
        <v/>
      </c>
      <c r="O101" s="55">
        <f>N101+1</f>
        <v/>
      </c>
      <c r="P101" s="55">
        <f>O101+1</f>
        <v/>
      </c>
    </row>
    <row r="102" customFormat="1" s="29">
      <c r="A102" s="6" t="n"/>
      <c r="B102" s="6" t="n"/>
      <c r="C102" s="6" t="n"/>
      <c r="D102" s="29" t="inlineStr">
        <is>
          <t>سحب</t>
        </is>
      </c>
      <c r="E102" s="67">
        <f>SUM(F102:P102)</f>
        <v/>
      </c>
      <c r="F102" s="10">
        <f>F53</f>
        <v/>
      </c>
      <c r="G102" s="10">
        <f>G53</f>
        <v/>
      </c>
      <c r="H102" s="10">
        <f>H53</f>
        <v/>
      </c>
      <c r="I102" s="10">
        <f>I53</f>
        <v/>
      </c>
      <c r="J102" s="10">
        <f>J53</f>
        <v/>
      </c>
      <c r="K102" s="10">
        <f>K53</f>
        <v/>
      </c>
      <c r="L102" s="10">
        <f>L53</f>
        <v/>
      </c>
      <c r="M102" s="10">
        <f>M53</f>
        <v/>
      </c>
      <c r="N102" s="10">
        <f>N53</f>
        <v/>
      </c>
      <c r="O102" s="10">
        <f>O53</f>
        <v/>
      </c>
      <c r="P102" s="10">
        <f>P53</f>
        <v/>
      </c>
    </row>
    <row r="103" customFormat="1" s="29">
      <c r="A103" s="6" t="n"/>
      <c r="B103" s="6" t="n"/>
      <c r="C103" s="6" t="n"/>
      <c r="D103" s="29" t="inlineStr">
        <is>
          <t>رسوم تمويل (عمولة الوكالة على كل سحبة)</t>
        </is>
      </c>
      <c r="E103" s="168" t="n">
        <v>0.0005</v>
      </c>
      <c r="F103" s="76">
        <f>-$E$103*F102</f>
        <v/>
      </c>
      <c r="G103" s="76">
        <f>-$E$103*G102</f>
        <v/>
      </c>
      <c r="H103" s="76">
        <f>-$E$103*H102</f>
        <v/>
      </c>
      <c r="I103" s="10">
        <f>-$E$103*I102</f>
        <v/>
      </c>
      <c r="J103" s="10">
        <f>-$E$103*J102</f>
        <v/>
      </c>
      <c r="K103" s="10">
        <f>-$E$103*K102</f>
        <v/>
      </c>
      <c r="L103" s="10">
        <f>-$E$103*L102</f>
        <v/>
      </c>
      <c r="M103" s="10">
        <f>-$E$103*M102</f>
        <v/>
      </c>
      <c r="N103" s="10">
        <f>-$E$103*N102</f>
        <v/>
      </c>
      <c r="O103" s="10">
        <f>-$E$103*O102</f>
        <v/>
      </c>
      <c r="P103" s="10">
        <f>-$E$103*P102</f>
        <v/>
      </c>
    </row>
    <row r="104" customFormat="1" s="29">
      <c r="A104" s="6" t="n"/>
      <c r="B104" s="6" t="n"/>
      <c r="C104" s="6" t="n"/>
      <c r="D104" s="29" t="inlineStr">
        <is>
          <t xml:space="preserve">سداد </t>
        </is>
      </c>
      <c r="E104" s="67">
        <f>SUM(F104:P104)=-E102</f>
        <v/>
      </c>
      <c r="F104" s="10">
        <f>F54</f>
        <v/>
      </c>
      <c r="G104" s="10">
        <f>G54</f>
        <v/>
      </c>
      <c r="H104" s="10">
        <f>H54</f>
        <v/>
      </c>
      <c r="I104" s="10">
        <f>I54</f>
        <v/>
      </c>
      <c r="J104" s="10">
        <f>J54</f>
        <v/>
      </c>
      <c r="K104" s="10">
        <f>K54</f>
        <v/>
      </c>
      <c r="L104" s="10">
        <f>L54</f>
        <v/>
      </c>
      <c r="M104" s="10">
        <f>M54</f>
        <v/>
      </c>
      <c r="N104" s="10">
        <f>N54</f>
        <v/>
      </c>
      <c r="O104" s="10">
        <f>O54</f>
        <v/>
      </c>
      <c r="P104" s="10">
        <f>P54</f>
        <v/>
      </c>
    </row>
    <row r="105" customFormat="1" s="29">
      <c r="A105" s="6" t="n"/>
      <c r="B105" s="6" t="n"/>
      <c r="C105" s="6" t="n"/>
      <c r="D105" s="29" t="inlineStr">
        <is>
          <t>مرابحة</t>
        </is>
      </c>
      <c r="E105" s="67">
        <f>SUM(F105:P105)</f>
        <v/>
      </c>
      <c r="F105" s="10">
        <f>F56</f>
        <v/>
      </c>
      <c r="G105" s="10">
        <f>G56</f>
        <v/>
      </c>
      <c r="H105" s="10">
        <f>H56</f>
        <v/>
      </c>
      <c r="I105" s="10">
        <f>I56</f>
        <v/>
      </c>
      <c r="J105" s="10">
        <f>J56</f>
        <v/>
      </c>
      <c r="K105" s="10">
        <f>K56</f>
        <v/>
      </c>
      <c r="L105" s="10">
        <f>L56</f>
        <v/>
      </c>
      <c r="M105" s="10">
        <f>M56</f>
        <v/>
      </c>
      <c r="N105" s="10">
        <f>N56</f>
        <v/>
      </c>
      <c r="O105" s="10">
        <f>O56</f>
        <v/>
      </c>
      <c r="P105" s="10">
        <f>P56</f>
        <v/>
      </c>
    </row>
    <row r="106" customFormat="1" s="29">
      <c r="A106" s="6" t="n"/>
      <c r="B106" s="6" t="n"/>
      <c r="C106" s="12" t="n"/>
      <c r="D106" s="12" t="inlineStr">
        <is>
          <t>صافي الحركة البنكية</t>
        </is>
      </c>
      <c r="E106" s="68" t="n"/>
      <c r="F106" s="51">
        <f>SUM(F102:F105)</f>
        <v/>
      </c>
      <c r="G106" s="51">
        <f>SUM(G102:G105)</f>
        <v/>
      </c>
      <c r="H106" s="51">
        <f>SUM(H102:H105)</f>
        <v/>
      </c>
      <c r="I106" s="51">
        <f>SUM(I102:I105)</f>
        <v/>
      </c>
      <c r="J106" s="51">
        <f>SUM(J102:J105)</f>
        <v/>
      </c>
      <c r="K106" s="51">
        <f>SUM(K102:K105)</f>
        <v/>
      </c>
      <c r="L106" s="51">
        <f>SUM(L102:L105)</f>
        <v/>
      </c>
      <c r="M106" s="51">
        <f>SUM(M102:M105)</f>
        <v/>
      </c>
      <c r="N106" s="51">
        <f>SUM(N102:N105)</f>
        <v/>
      </c>
      <c r="O106" s="51">
        <f>SUM(O102:O105)</f>
        <v/>
      </c>
      <c r="P106" s="51">
        <f>SUM(P102:P105)</f>
        <v/>
      </c>
    </row>
    <row r="107" customFormat="1" s="29">
      <c r="A107" s="6" t="n"/>
      <c r="B107" s="6" t="n"/>
      <c r="C107" s="56" t="inlineStr">
        <is>
          <t>صافي التدفق النقدي قبل رسوم الأداء</t>
        </is>
      </c>
      <c r="D107" s="57" t="n"/>
      <c r="E107" s="77">
        <f>SUM(F107:P107)</f>
        <v/>
      </c>
      <c r="F107" s="57">
        <f>SUM(F86,F94,F106,F100)</f>
        <v/>
      </c>
      <c r="G107" s="57">
        <f>SUM(G86,G94,G106,G100)</f>
        <v/>
      </c>
      <c r="H107" s="57">
        <f>SUM(H86,H94,H106,H100)</f>
        <v/>
      </c>
      <c r="I107" s="57">
        <f>SUM(I86,I94,I106,I100)</f>
        <v/>
      </c>
      <c r="J107" s="57">
        <f>SUM(J86,J94,J106,J100)</f>
        <v/>
      </c>
      <c r="K107" s="57">
        <f>SUM(K86,K94,K106,K100)</f>
        <v/>
      </c>
      <c r="L107" s="57">
        <f>SUM(L86,L94,L106,L100)</f>
        <v/>
      </c>
      <c r="M107" s="57">
        <f>SUM(M86,M94,M106,M100)</f>
        <v/>
      </c>
      <c r="N107" s="57">
        <f>SUM(N86,N94,N106,N100)</f>
        <v/>
      </c>
      <c r="O107" s="57">
        <f>SUM(O86,O94,O106,O100)</f>
        <v/>
      </c>
      <c r="P107" s="57">
        <f>SUM(P86,P94,P106,P100)</f>
        <v/>
      </c>
    </row>
    <row r="108" customFormat="1" s="29">
      <c r="A108" s="6" t="n"/>
      <c r="B108" s="6" t="n"/>
      <c r="C108" s="78" t="n"/>
      <c r="D108" s="78" t="inlineStr">
        <is>
          <t>هامش الربح  - ROI (على رأس مال المساهمين)</t>
        </is>
      </c>
      <c r="E108" s="169">
        <f>E107/G30</f>
        <v/>
      </c>
    </row>
    <row r="109" customFormat="1" s="29">
      <c r="A109" s="6" t="n"/>
      <c r="B109" s="6" t="n"/>
      <c r="C109" s="53" t="n"/>
      <c r="D109" s="53" t="inlineStr">
        <is>
          <t>عدد سنوات المشروع</t>
        </is>
      </c>
      <c r="E109" s="170">
        <f>ROUND((MAX($S$52:$S$55)-E111)/365,2)</f>
        <v/>
      </c>
      <c r="F109" s="10" t="n"/>
      <c r="G109" s="125" t="n"/>
      <c r="H109" s="83" t="n"/>
      <c r="I109" s="10" t="n"/>
      <c r="J109" s="10" t="n"/>
      <c r="K109" s="10" t="n"/>
      <c r="L109" s="10" t="n"/>
      <c r="M109" s="50" t="n"/>
      <c r="N109" s="50" t="n"/>
      <c r="O109" s="50" t="n"/>
      <c r="P109" s="50" t="n"/>
    </row>
    <row r="110" customFormat="1" s="29">
      <c r="A110" s="6" t="n"/>
      <c r="B110" s="6" t="n"/>
      <c r="C110" s="78" t="n"/>
      <c r="D110" s="78" t="inlineStr">
        <is>
          <t>هامش الربح السنوي - ROI</t>
        </is>
      </c>
      <c r="E110" s="169">
        <f>E108/E109</f>
        <v/>
      </c>
      <c r="F110" s="148" t="n"/>
      <c r="G110" s="10" t="n"/>
      <c r="H110" s="10" t="n"/>
      <c r="I110" s="171" t="n"/>
      <c r="J110" s="171" t="n"/>
      <c r="K110" s="171" t="n"/>
      <c r="L110" s="10" t="n"/>
      <c r="M110" s="50" t="n"/>
      <c r="N110" s="50" t="n"/>
      <c r="O110" s="50" t="n"/>
      <c r="P110" s="50" t="n"/>
    </row>
    <row r="111">
      <c r="D111" s="172" t="inlineStr">
        <is>
          <t>تاريخ بداية الاستثمار</t>
        </is>
      </c>
      <c r="E111" s="173" t="n">
        <v>45859</v>
      </c>
    </row>
    <row r="112">
      <c r="D112" s="78" t="inlineStr">
        <is>
          <t>معدل العائد الداخلي - IRR</t>
        </is>
      </c>
      <c r="E112" s="174">
        <f>IRR(F107:P107)</f>
        <v/>
      </c>
    </row>
    <row r="113">
      <c r="E113" s="125" t="n"/>
    </row>
  </sheetData>
  <conditionalFormatting sqref="E90">
    <cfRule type="cellIs" priority="13" operator="notEqual" dxfId="2">
      <formula>1</formula>
    </cfRule>
  </conditionalFormatting>
  <conditionalFormatting sqref="E92">
    <cfRule type="cellIs" priority="14" operator="notEqual" dxfId="2">
      <formula>1</formula>
    </cfRule>
  </conditionalFormatting>
  <conditionalFormatting sqref="E107:P107">
    <cfRule type="cellIs" priority="17" operator="lessThan" dxfId="0">
      <formula>0</formula>
    </cfRule>
  </conditionalFormatting>
  <conditionalFormatting sqref="E65">
    <cfRule type="cellIs" priority="3" operator="notEqual" dxfId="0">
      <formula>1</formula>
    </cfRule>
  </conditionalFormatting>
  <dataValidations disablePrompts="1" count="1">
    <dataValidation sqref="E97" showDropDown="0" showInputMessage="1" showErrorMessage="1" allowBlank="1" type="list">
      <formula1>"1,0"</formula1>
    </dataValidation>
  </dataValidations>
  <pageMargins left="0.7" right="0.7" top="0.75" bottom="0.75" header="0.3" footer="0.3"/>
  <pageSetup orientation="portrait" paperSize="9"/>
  <legacyDrawing xmlns:r="http://schemas.openxmlformats.org/officeDocument/2006/relationships" r:id="anysvml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0A81A300-93CD-44FC-AA6D-C693097577A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E72</xm:sqref>
        </x14:conditionalFormatting>
        <x14:conditionalFormatting xmlns:xm="http://schemas.microsoft.com/office/excel/2006/main">
          <x14:cfRule type="iconSet" priority="5" id="{3D92D5B6-713C-4FE8-A2A8-C56AA65C821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F86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Hossam-Eldin Badry</dc:creator>
  <dcterms:created xmlns:dcterms="http://purl.org/dc/terms/" xmlns:xsi="http://www.w3.org/2001/XMLSchema-instance" xsi:type="dcterms:W3CDTF">2015-06-05T18:17:20Z</dcterms:created>
  <dcterms:modified xmlns:dcterms="http://purl.org/dc/terms/" xmlns:xsi="http://www.w3.org/2001/XMLSchema-instance" xsi:type="dcterms:W3CDTF">2026-10-15T14:14:19Z</dcterms:modified>
  <cp:lastModifiedBy>Wagdy Mahmoud Elsayed</cp:lastModifiedBy>
</cp:coreProperties>
</file>