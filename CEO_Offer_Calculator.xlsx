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راتب" sheetId="1" state="visible" r:id="rId1"/>
    <sheet name="حافز الأرباح" sheetId="2" state="visible" r:id="rId2"/>
    <sheet name="حافز المحفظة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;(0.0%);&quot;-&quot;"/>
    <numFmt numFmtId="166" formatCode="0.00%;(0.00%);&quot;-&quot;"/>
    <numFmt numFmtId="167" formatCode="dd/mm/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808080"/>
    </font>
    <font>
      <name val="Arial"/>
      <b val="1"/>
      <color rgb="001F3864"/>
      <sz val="12"/>
    </font>
    <font>
      <name val="Arial"/>
    </font>
    <font>
      <name val="Arial"/>
      <b val="1"/>
      <color rgb="000000FF"/>
    </font>
    <font>
      <name val="Arial"/>
      <b val="1"/>
      <color rgb="00FFFFFF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6" fillId="2" borderId="0" applyAlignment="1" pivotButton="0" quotePrefix="0" xfId="0">
      <alignment horizontal="center" wrapText="1"/>
    </xf>
    <xf numFmtId="164" fontId="4" fillId="0" borderId="1" pivotButton="0" quotePrefix="0" xfId="0"/>
    <xf numFmtId="0" fontId="7" fillId="0" borderId="0" pivotButton="0" quotePrefix="0" xfId="0"/>
    <xf numFmtId="164" fontId="7" fillId="4" borderId="1" pivotButton="0" quotePrefix="0" xfId="0"/>
    <xf numFmtId="0" fontId="4" fillId="0" borderId="1" pivotButton="0" quotePrefix="0" xfId="0"/>
    <xf numFmtId="1" fontId="5" fillId="3" borderId="1" pivotButton="0" quotePrefix="0" xfId="0"/>
    <xf numFmtId="165" fontId="4" fillId="0" borderId="1" pivotButton="0" quotePrefix="0" xfId="0"/>
    <xf numFmtId="167" fontId="4" fillId="0" borderId="1" pivotButton="0" quotePrefix="0" xfId="0"/>
    <xf numFmtId="166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B4" authorId="0" shapeId="0">
      <text>
        <t>من طلب صاحب العمل</t>
      </text>
    </comment>
    <comment ref="B7" authorId="0" shapeId="0">
      <text>
        <t>سعودي مسجل قبل يوليو 2024: 9% معاشات + 0.75% ساند. للمسجل بعد يوليو 2024 ضع 10.75%. لغير السعودي ضع 0%</t>
      </text>
    </comment>
    <comment ref="B8" authorId="0" shapeId="0">
      <text>
        <t>9% معاشات + 0.75% ساند + 2% أخطار مهنية. لغير السعودي 2%</t>
      </text>
    </comment>
    <comment ref="B9" authorId="0" shapeId="0">
      <text>
        <t>سقف الاشتراك في التأمينات الاجتماعية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B11" authorId="0" shapeId="0">
      <text>
        <t>من القوائم المراجعة، بعد الزكاة، بدون أرباح إعادة تقييم غير محققة</t>
      </text>
    </comment>
    <comment ref="B14" authorId="0" shapeId="0">
      <text>
        <t>عادة 3–4 أشهر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B4" authorId="0" shapeId="0">
      <text>
        <t>من طلب صاحب العمل: 100 مليون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rightToLeft="1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28" customHeight="1">
      <c r="A1" s="1" t="inlineStr">
        <is>
          <t>حسبة الراتب — صافي 40,000 بعد التأمينات</t>
        </is>
      </c>
    </row>
    <row r="2">
      <c r="A2" s="2" t="inlineStr">
        <is>
          <t>الخلايا الصفراء بخط أزرق = مدخلات قابلة للتعديل، والباقي معادلات</t>
        </is>
      </c>
    </row>
    <row r="3">
      <c r="A3" s="3" t="inlineStr">
        <is>
          <t>المدخلات</t>
        </is>
      </c>
    </row>
    <row r="4">
      <c r="A4" s="4" t="inlineStr">
        <is>
          <t>الصافي الشهري المطلوب (ريال)</t>
        </is>
      </c>
      <c r="B4" s="5" t="n">
        <v>40000</v>
      </c>
    </row>
    <row r="5">
      <c r="A5" s="4" t="inlineStr">
        <is>
          <t>بدل السكن (% من الأساسي)</t>
        </is>
      </c>
      <c r="B5" s="6" t="n">
        <v>0.25</v>
      </c>
    </row>
    <row r="6">
      <c r="A6" s="4" t="inlineStr">
        <is>
          <t>بدل النقل (% من الأساسي)</t>
        </is>
      </c>
      <c r="B6" s="6" t="n">
        <v>0.1</v>
      </c>
    </row>
    <row r="7">
      <c r="A7" s="4" t="inlineStr">
        <is>
          <t>خصم التأمينات على الموظف</t>
        </is>
      </c>
      <c r="B7" s="7" t="n">
        <v>0.0975</v>
      </c>
    </row>
    <row r="8">
      <c r="A8" s="4" t="inlineStr">
        <is>
          <t>حصة الشركة في التأمينات</t>
        </is>
      </c>
      <c r="B8" s="7" t="n">
        <v>0.1175</v>
      </c>
    </row>
    <row r="9">
      <c r="A9" s="4" t="inlineStr">
        <is>
          <t>الحد الأعلى للأجر الخاضع (ريال)</t>
        </is>
      </c>
      <c r="B9" s="5" t="n">
        <v>45000</v>
      </c>
    </row>
    <row r="11">
      <c r="A11" s="3" t="inlineStr">
        <is>
          <t>تفصيل الراتب</t>
        </is>
      </c>
    </row>
    <row r="12">
      <c r="A12" s="8" t="inlineStr">
        <is>
          <t>البند</t>
        </is>
      </c>
      <c r="B12" s="8" t="inlineStr">
        <is>
          <t>شهري (ريال)</t>
        </is>
      </c>
      <c r="C12" s="8" t="inlineStr">
        <is>
          <t>سنوي (ريال)</t>
        </is>
      </c>
    </row>
    <row r="13">
      <c r="A13" s="4" t="inlineStr">
        <is>
          <t>الراتب الأساسي</t>
        </is>
      </c>
      <c r="B13" s="9">
        <f>ROUND(IF((1+B5)*B4/(1+B5+B6-B7*(1+B5))&lt;=B9,B4/(1+B5+B6-B7*(1+B5)),(B4+B7*B9)/(1+B5+B6)),0)</f>
        <v/>
      </c>
      <c r="C13" s="9">
        <f>B13*12</f>
        <v/>
      </c>
    </row>
    <row r="14">
      <c r="A14" s="4" t="inlineStr">
        <is>
          <t>بدل السكن</t>
        </is>
      </c>
      <c r="B14" s="9">
        <f>ROUND(B13*B5,0)</f>
        <v/>
      </c>
      <c r="C14" s="9">
        <f>B14*12</f>
        <v/>
      </c>
    </row>
    <row r="15">
      <c r="A15" s="4" t="inlineStr">
        <is>
          <t>بدل النقل</t>
        </is>
      </c>
      <c r="B15" s="9">
        <f>ROUND(B13*B6,0)</f>
        <v/>
      </c>
      <c r="C15" s="9">
        <f>B15*12</f>
        <v/>
      </c>
    </row>
    <row r="16">
      <c r="A16" s="10" t="inlineStr">
        <is>
          <t>إجمالي الراتب</t>
        </is>
      </c>
      <c r="B16" s="11">
        <f>SUM(B13:B15)</f>
        <v/>
      </c>
      <c r="C16" s="11">
        <f>B16*12</f>
        <v/>
      </c>
    </row>
    <row r="17">
      <c r="A17" s="4" t="inlineStr">
        <is>
          <t>الأجر الخاضع للتأمينات</t>
        </is>
      </c>
      <c r="B17" s="9">
        <f>MIN(B13+B14,B9)</f>
        <v/>
      </c>
      <c r="C17" s="9">
        <f>B17*12</f>
        <v/>
      </c>
    </row>
    <row r="18">
      <c r="A18" s="4" t="inlineStr">
        <is>
          <t>خصم التأمينات (حصة الموظف)</t>
        </is>
      </c>
      <c r="B18" s="9">
        <f>-ROUND(B17*B7,2)</f>
        <v/>
      </c>
      <c r="C18" s="9">
        <f>B18*12</f>
        <v/>
      </c>
    </row>
    <row r="19">
      <c r="A19" s="10" t="inlineStr">
        <is>
          <t>صافي الراتب للموظف</t>
        </is>
      </c>
      <c r="B19" s="11">
        <f>B16+B18</f>
        <v/>
      </c>
      <c r="C19" s="11">
        <f>B19*12</f>
        <v/>
      </c>
    </row>
    <row r="20">
      <c r="A20" s="4" t="inlineStr">
        <is>
          <t>حصة الشركة في التأمينات</t>
        </is>
      </c>
      <c r="B20" s="9">
        <f>ROUND(B17*B8,2)</f>
        <v/>
      </c>
      <c r="C20" s="9">
        <f>B20*12</f>
        <v/>
      </c>
    </row>
    <row r="21">
      <c r="A21" s="10" t="inlineStr">
        <is>
          <t>التكلفة الإجمالية على الشركة</t>
        </is>
      </c>
      <c r="B21" s="11">
        <f>B16+B20</f>
        <v/>
      </c>
      <c r="C21" s="11">
        <f>B21*12</f>
        <v/>
      </c>
    </row>
    <row r="23">
      <c r="A23" s="2" t="inlineStr">
        <is>
          <t>ملاحظة: التأمين الطبي VIP للعائلة تقديريًا 25,000–45,000 ريال سنويًا يُضاف للتكلفة.</t>
        </is>
      </c>
    </row>
  </sheetData>
  <mergeCells count="1"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28" customHeight="1">
      <c r="A1" s="1" t="inlineStr">
        <is>
          <t>الخيار أ — حافز من صافي الأرباح حسب الرقم المحقق</t>
        </is>
      </c>
    </row>
    <row r="2">
      <c r="A2" s="2" t="inlineStr">
        <is>
          <t>لو وصل صافي الربح إلى رقم الشريحة يأخذ نسبتها من كامل صافي الربح</t>
        </is>
      </c>
    </row>
    <row r="3">
      <c r="A3" s="3" t="inlineStr">
        <is>
          <t>الشرائح (عدّل الأرقام والنسب)</t>
        </is>
      </c>
    </row>
    <row r="4">
      <c r="A4" s="8" t="inlineStr">
        <is>
          <t>الشريحة</t>
        </is>
      </c>
      <c r="B4" s="8" t="inlineStr">
        <is>
          <t>إذا وصل صافي الربح إلى (ريال)</t>
        </is>
      </c>
      <c r="C4" s="8" t="inlineStr">
        <is>
          <t>يأخذ نسبة</t>
        </is>
      </c>
    </row>
    <row r="5">
      <c r="A5" s="12" t="inlineStr">
        <is>
          <t>الشريحة 1</t>
        </is>
      </c>
      <c r="B5" s="5" t="n">
        <v>15000000</v>
      </c>
      <c r="C5" s="6" t="n">
        <v>0.1</v>
      </c>
    </row>
    <row r="6">
      <c r="A6" s="12" t="inlineStr">
        <is>
          <t>الشريحة 2</t>
        </is>
      </c>
      <c r="B6" s="5" t="n">
        <v>20000000</v>
      </c>
      <c r="C6" s="6" t="n">
        <v>0.15</v>
      </c>
    </row>
    <row r="7">
      <c r="A7" s="12" t="inlineStr">
        <is>
          <t>الشريحة 3</t>
        </is>
      </c>
      <c r="B7" s="5" t="n">
        <v>25000000</v>
      </c>
      <c r="C7" s="6" t="n">
        <v>0.2</v>
      </c>
    </row>
    <row r="8">
      <c r="A8" s="2" t="inlineStr">
        <is>
          <t>أقل من رقم الشريحة 1 = لا يوجد حافز</t>
        </is>
      </c>
    </row>
    <row r="10">
      <c r="A10" s="3" t="inlineStr">
        <is>
          <t>المدخلات</t>
        </is>
      </c>
    </row>
    <row r="11">
      <c r="A11" s="4" t="inlineStr">
        <is>
          <t>صافي الربح الفعلي (ريال)</t>
        </is>
      </c>
      <c r="B11" s="5" t="n">
        <v>22000000</v>
      </c>
    </row>
    <row r="12">
      <c r="A12" s="4" t="inlineStr">
        <is>
          <t>سقف الحافز السنوي (ريال، 0 = بدون سقف)</t>
        </is>
      </c>
      <c r="B12" s="5" t="n">
        <v>0</v>
      </c>
    </row>
    <row r="13">
      <c r="A13" s="4" t="inlineStr">
        <is>
          <t>السنة المالية</t>
        </is>
      </c>
      <c r="B13" s="13" t="n">
        <v>2027</v>
      </c>
    </row>
    <row r="14">
      <c r="A14" s="4" t="inlineStr">
        <is>
          <t>أشهر بعد نهاية السنة لاعتماد القوائم</t>
        </is>
      </c>
      <c r="B14" s="13" t="n">
        <v>4</v>
      </c>
    </row>
    <row r="16">
      <c r="A16" s="3" t="inlineStr">
        <is>
          <t>النتيجة</t>
        </is>
      </c>
    </row>
    <row r="17">
      <c r="A17" s="4" t="inlineStr">
        <is>
          <t>النسبة المستحقة</t>
        </is>
      </c>
      <c r="B17" s="14">
        <f>IF(B11&lt;$B$5,0,IF(B11&lt;$B$6,$C$5,IF(B11&lt;$B$7,$C$6,$C$7)))</f>
        <v/>
      </c>
    </row>
    <row r="18">
      <c r="A18" s="10" t="inlineStr">
        <is>
          <t>الحافز المستحق (يُصرف كاملًا دفعة واحدة)</t>
        </is>
      </c>
      <c r="B18" s="11">
        <f>IF($B$12&gt;0,MIN(B17*B11,$B$12),B17*B11)</f>
        <v/>
      </c>
    </row>
    <row r="19">
      <c r="A19" s="4" t="inlineStr">
        <is>
          <t>تاريخ الصرف</t>
        </is>
      </c>
      <c r="B19" s="15">
        <f>EOMONTH(DATE(B13,12,31),B14)</f>
        <v/>
      </c>
    </row>
    <row r="21">
      <c r="A21" s="3" t="inlineStr">
        <is>
          <t>جدول سيناريوهات</t>
        </is>
      </c>
    </row>
    <row r="22">
      <c r="A22" s="8" t="inlineStr">
        <is>
          <t>صافي الربح (ريال)</t>
        </is>
      </c>
      <c r="B22" s="8" t="inlineStr">
        <is>
          <t>النسبة</t>
        </is>
      </c>
      <c r="C22" s="8" t="inlineStr">
        <is>
          <t>الحافز (ريال)</t>
        </is>
      </c>
    </row>
    <row r="23">
      <c r="A23" s="5" t="n">
        <v>12000000</v>
      </c>
      <c r="B23" s="14">
        <f>IF(A23&lt;$B$5,0,IF(A23&lt;$B$6,$C$5,IF(A23&lt;$B$7,$C$6,$C$7)))</f>
        <v/>
      </c>
      <c r="C23" s="9">
        <f>IF($B$12&gt;0,MIN(B23*A23,$B$12),B23*A23)</f>
        <v/>
      </c>
    </row>
    <row r="24">
      <c r="A24" s="5" t="n">
        <v>15000000</v>
      </c>
      <c r="B24" s="14">
        <f>IF(A24&lt;$B$5,0,IF(A24&lt;$B$6,$C$5,IF(A24&lt;$B$7,$C$6,$C$7)))</f>
        <v/>
      </c>
      <c r="C24" s="9">
        <f>IF($B$12&gt;0,MIN(B24*A24,$B$12),B24*A24)</f>
        <v/>
      </c>
    </row>
    <row r="25">
      <c r="A25" s="5" t="n">
        <v>18000000</v>
      </c>
      <c r="B25" s="14">
        <f>IF(A25&lt;$B$5,0,IF(A25&lt;$B$6,$C$5,IF(A25&lt;$B$7,$C$6,$C$7)))</f>
        <v/>
      </c>
      <c r="C25" s="9">
        <f>IF($B$12&gt;0,MIN(B25*A25,$B$12),B25*A25)</f>
        <v/>
      </c>
    </row>
    <row r="26">
      <c r="A26" s="5" t="n">
        <v>20000000</v>
      </c>
      <c r="B26" s="14">
        <f>IF(A26&lt;$B$5,0,IF(A26&lt;$B$6,$C$5,IF(A26&lt;$B$7,$C$6,$C$7)))</f>
        <v/>
      </c>
      <c r="C26" s="9">
        <f>IF($B$12&gt;0,MIN(B26*A26,$B$12),B26*A26)</f>
        <v/>
      </c>
    </row>
    <row r="27">
      <c r="A27" s="5" t="n">
        <v>22000000</v>
      </c>
      <c r="B27" s="14">
        <f>IF(A27&lt;$B$5,0,IF(A27&lt;$B$6,$C$5,IF(A27&lt;$B$7,$C$6,$C$7)))</f>
        <v/>
      </c>
      <c r="C27" s="9">
        <f>IF($B$12&gt;0,MIN(B27*A27,$B$12),B27*A27)</f>
        <v/>
      </c>
    </row>
    <row r="28">
      <c r="A28" s="5" t="n">
        <v>25000000</v>
      </c>
      <c r="B28" s="14">
        <f>IF(A28&lt;$B$5,0,IF(A28&lt;$B$6,$C$5,IF(A28&lt;$B$7,$C$6,$C$7)))</f>
        <v/>
      </c>
      <c r="C28" s="9">
        <f>IF($B$12&gt;0,MIN(B28*A28,$B$12),B28*A28)</f>
        <v/>
      </c>
    </row>
    <row r="29">
      <c r="A29" s="5" t="n">
        <v>30000000</v>
      </c>
      <c r="B29" s="14">
        <f>IF(A29&lt;$B$5,0,IF(A29&lt;$B$6,$C$5,IF(A29&lt;$B$7,$C$6,$C$7)))</f>
        <v/>
      </c>
      <c r="C29" s="9">
        <f>IF($B$12&gt;0,MIN(B29*A29,$B$12),B29*A29)</f>
        <v/>
      </c>
    </row>
  </sheetData>
  <mergeCells count="1"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rightToLeft="1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28" customHeight="1">
      <c r="A1" s="1" t="inlineStr">
        <is>
          <t>الخيار ب — حافز المحفظة (1%–2%)</t>
        </is>
      </c>
    </row>
    <row r="3">
      <c r="A3" s="3" t="inlineStr">
        <is>
          <t>المدخلات</t>
        </is>
      </c>
    </row>
    <row r="4">
      <c r="A4" s="4" t="inlineStr">
        <is>
          <t>حد بداية الحافز (ريال)</t>
        </is>
      </c>
      <c r="B4" s="5" t="n">
        <v>100000000</v>
      </c>
    </row>
    <row r="5">
      <c r="A5" s="4" t="inlineStr">
        <is>
          <t>النسبة عند الحد</t>
        </is>
      </c>
      <c r="B5" s="7" t="n">
        <v>0.01</v>
      </c>
    </row>
    <row r="6">
      <c r="A6" s="4" t="inlineStr">
        <is>
          <t>النسبة القصوى</t>
        </is>
      </c>
      <c r="B6" s="7" t="n">
        <v>0.02</v>
      </c>
    </row>
    <row r="7">
      <c r="A7" s="4" t="inlineStr">
        <is>
          <t>قيمة المحفظة عند النسبة القصوى (ريال)</t>
        </is>
      </c>
      <c r="B7" s="5" t="n">
        <v>200000000</v>
      </c>
    </row>
    <row r="8">
      <c r="A8" s="2" t="inlineStr">
        <is>
          <t>المحفظة = إجمالي المبيعات المتعاقد عليها والمحصّلة تراكميًا من تاريخ المباشرة</t>
        </is>
      </c>
    </row>
    <row r="10">
      <c r="A10" s="3" t="inlineStr">
        <is>
          <t>الاستحقاق السنوي (أدخل قيمة المحفظة التراكمية لكل سنة)</t>
        </is>
      </c>
    </row>
    <row r="11">
      <c r="A11" s="8" t="inlineStr">
        <is>
          <t>السنة</t>
        </is>
      </c>
      <c r="B11" s="8" t="inlineStr">
        <is>
          <t>المحفظة التراكمية (ريال)</t>
        </is>
      </c>
      <c r="C11" s="8" t="inlineStr">
        <is>
          <t>النسبة</t>
        </is>
      </c>
      <c r="D11" s="8" t="inlineStr">
        <is>
          <t>الاستحقاق التراكمي (ريال)</t>
        </is>
      </c>
      <c r="E11" s="8" t="inlineStr">
        <is>
          <t>يُصرف هذه السنة (ريال)</t>
        </is>
      </c>
    </row>
    <row r="12">
      <c r="A12" s="12" t="inlineStr">
        <is>
          <t>السنة 1</t>
        </is>
      </c>
      <c r="B12" s="5" t="n">
        <v>60000000</v>
      </c>
      <c r="C12" s="16">
        <f>IF(B12&lt;$B$4,0,MIN($B$6,$B$5+($B$6-$B$5)*(B12-$B$4)/($B$7-$B$4)))</f>
        <v/>
      </c>
      <c r="D12" s="9">
        <f>C12*B12</f>
        <v/>
      </c>
      <c r="E12" s="9">
        <f>MAX(0,D12)</f>
        <v/>
      </c>
    </row>
    <row r="13">
      <c r="A13" s="12" t="inlineStr">
        <is>
          <t>السنة 2</t>
        </is>
      </c>
      <c r="B13" s="5" t="n">
        <v>100000000</v>
      </c>
      <c r="C13" s="16">
        <f>IF(B13&lt;$B$4,0,MIN($B$6,$B$5+($B$6-$B$5)*(B13-$B$4)/($B$7-$B$4)))</f>
        <v/>
      </c>
      <c r="D13" s="9">
        <f>C13*B13</f>
        <v/>
      </c>
      <c r="E13" s="9">
        <f>MAX(0,D13-MAX($D$12:D12))</f>
        <v/>
      </c>
    </row>
    <row r="14">
      <c r="A14" s="12" t="inlineStr">
        <is>
          <t>السنة 3</t>
        </is>
      </c>
      <c r="B14" s="5" t="n">
        <v>150000000</v>
      </c>
      <c r="C14" s="16">
        <f>IF(B14&lt;$B$4,0,MIN($B$6,$B$5+($B$6-$B$5)*(B14-$B$4)/($B$7-$B$4)))</f>
        <v/>
      </c>
      <c r="D14" s="9">
        <f>C14*B14</f>
        <v/>
      </c>
      <c r="E14" s="9">
        <f>MAX(0,D14-MAX($D$12:D13))</f>
        <v/>
      </c>
    </row>
    <row r="15">
      <c r="A15" s="12" t="inlineStr">
        <is>
          <t>السنة 4</t>
        </is>
      </c>
      <c r="B15" s="5" t="n">
        <v>200000000</v>
      </c>
      <c r="C15" s="16">
        <f>IF(B15&lt;$B$4,0,MIN($B$6,$B$5+($B$6-$B$5)*(B15-$B$4)/($B$7-$B$4)))</f>
        <v/>
      </c>
      <c r="D15" s="9">
        <f>C15*B15</f>
        <v/>
      </c>
      <c r="E15" s="9">
        <f>MAX(0,D15-MAX($D$12:D14))</f>
        <v/>
      </c>
    </row>
    <row r="16">
      <c r="A16" s="12" t="inlineStr">
        <is>
          <t>السنة 5</t>
        </is>
      </c>
      <c r="B16" s="5" t="n">
        <v>300000000</v>
      </c>
      <c r="C16" s="16">
        <f>IF(B16&lt;$B$4,0,MIN($B$6,$B$5+($B$6-$B$5)*(B16-$B$4)/($B$7-$B$4)))</f>
        <v/>
      </c>
      <c r="D16" s="9">
        <f>C16*B16</f>
        <v/>
      </c>
      <c r="E16" s="9">
        <f>MAX(0,D16-MAX($D$12:D15))</f>
        <v/>
      </c>
    </row>
    <row r="17">
      <c r="A17" s="10" t="inlineStr">
        <is>
          <t>إجمالي المصروف</t>
        </is>
      </c>
      <c r="E17" s="11">
        <f>SUM(E12:E16)</f>
        <v/>
      </c>
    </row>
    <row r="19">
      <c r="A19" s="2" t="inlineStr">
        <is>
          <t>يُصرف الفرق فقط بين الاستحقاق الحالي وأعلى استحقاق سابق، حتى لا يُدفع على نفس القيمة مرتين.</t>
        </is>
      </c>
    </row>
  </sheetData>
  <mergeCells count="1">
    <mergeCell ref="A1:E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2026-10-06T15:37:05Z</dcterms:created>
  <dcterms:modified xsi:type="dcterms:W3CDTF">2026-10-06T15:37:05Z</dcterms:modified>
</cp:coreProperties>
</file>