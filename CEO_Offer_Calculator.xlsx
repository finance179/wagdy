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راتب" sheetId="1" state="visible" r:id="rId1"/>
    <sheet name="حافز الأرباح" sheetId="2" state="visible" r:id="rId2"/>
    <sheet name="حافز المحفظ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0.00%;(0.00%);&quot;-&quot;"/>
    <numFmt numFmtId="167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</font>
    <font>
      <name val="Arial"/>
      <b val="1"/>
      <color rgb="001F3864"/>
      <sz val="12"/>
    </font>
    <font>
      <name val="Arial"/>
    </font>
    <font>
      <name val="Arial"/>
      <b val="1"/>
      <color rgb="000000FF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6" fillId="2" borderId="0" applyAlignment="1" pivotButton="0" quotePrefix="0" xfId="0">
      <alignment horizontal="center" wrapText="1"/>
    </xf>
    <xf numFmtId="164" fontId="4" fillId="0" borderId="1" pivotButton="0" quotePrefix="0" xfId="0"/>
    <xf numFmtId="0" fontId="7" fillId="0" borderId="0" pivotButton="0" quotePrefix="0" xfId="0"/>
    <xf numFmtId="164" fontId="7" fillId="4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5" fontId="5" fillId="0" borderId="1" pivotButton="0" quotePrefix="0" xfId="0"/>
    <xf numFmtId="1" fontId="5" fillId="3" borderId="1" pivotButton="0" quotePrefix="0" xfId="0"/>
    <xf numFmtId="167" fontId="4" fillId="0" borderId="1" pivotButton="0" quotePrefix="0" xfId="0"/>
    <xf numFmtId="1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B4" authorId="0" shapeId="0">
      <text>
        <t>من طلب صاحب العمل</t>
      </text>
    </comment>
    <comment ref="B7" authorId="0" shapeId="0">
      <text>
        <t>سعودي مسجل قبل يوليو 2024: 9% معاشات + 0.75% ساند. للمسجل بعد يوليو 2024 ضع 10.75%. لغير السعودي ضع 0%</t>
      </text>
    </comment>
    <comment ref="B8" authorId="0" shapeId="0">
      <text>
        <t>9% معاشات + 0.75% ساند + 2% أخطار مهنية. لغير السعودي 2%</t>
      </text>
    </comment>
    <comment ref="B9" authorId="0" shapeId="0">
      <text>
        <t>سقف الاشتراك في التأمينات الاجتماعية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4" authorId="0" shapeId="0">
      <text>
        <t>مثال — يعتمده مجلس الإدارة مع الموازنة</t>
      </text>
    </comment>
    <comment ref="B5" authorId="0" shapeId="0">
      <text>
        <t>من القوائم المراجعة، بعد الزكاة، بدون أرباح إعادة تقييم غير محققة</t>
      </text>
    </comment>
    <comment ref="B11" authorId="0" shapeId="0">
      <text>
        <t>يُنصح بتحديد سقف</t>
      </text>
    </comment>
    <comment ref="B12" authorId="0" shapeId="0">
      <text>
        <t>الباقي مؤجل 12 شهرًا</t>
      </text>
    </comment>
    <comment ref="B37" authorId="0" shapeId="0">
      <text>
        <t>عادة 3–4 أشهر</t>
      </text>
    </comment>
    <comment ref="B38" authorId="0" shapeId="0">
      <text>
        <t>يُصرف بشرط استمراره على رأس العمل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B4" authorId="0" shapeId="0">
      <text>
        <t>من طلب صاحب العمل: 100 مليون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حسبة الراتب — صافي 40,000 بعد التأمينات</t>
        </is>
      </c>
    </row>
    <row r="2">
      <c r="A2" s="2" t="inlineStr">
        <is>
          <t>الخلايا الصفراء بخط أزرق = مدخلات قابلة للتعديل، والباقي معادلات</t>
        </is>
      </c>
    </row>
    <row r="3">
      <c r="A3" s="3" t="inlineStr">
        <is>
          <t>المدخلات</t>
        </is>
      </c>
    </row>
    <row r="4">
      <c r="A4" s="4" t="inlineStr">
        <is>
          <t>الصافي الشهري المطلوب (ريال)</t>
        </is>
      </c>
      <c r="B4" s="5" t="n">
        <v>40000</v>
      </c>
    </row>
    <row r="5">
      <c r="A5" s="4" t="inlineStr">
        <is>
          <t>بدل السكن (% من الأساسي)</t>
        </is>
      </c>
      <c r="B5" s="6" t="n">
        <v>0.25</v>
      </c>
    </row>
    <row r="6">
      <c r="A6" s="4" t="inlineStr">
        <is>
          <t>بدل النقل (% من الأساسي)</t>
        </is>
      </c>
      <c r="B6" s="6" t="n">
        <v>0.1</v>
      </c>
    </row>
    <row r="7">
      <c r="A7" s="4" t="inlineStr">
        <is>
          <t>خصم التأمينات على الموظف</t>
        </is>
      </c>
      <c r="B7" s="7" t="n">
        <v>0.0975</v>
      </c>
    </row>
    <row r="8">
      <c r="A8" s="4" t="inlineStr">
        <is>
          <t>حصة الشركة في التأمينات</t>
        </is>
      </c>
      <c r="B8" s="7" t="n">
        <v>0.1175</v>
      </c>
    </row>
    <row r="9">
      <c r="A9" s="4" t="inlineStr">
        <is>
          <t>الحد الأعلى للأجر الخاضع (ريال)</t>
        </is>
      </c>
      <c r="B9" s="5" t="n">
        <v>45000</v>
      </c>
    </row>
    <row r="11">
      <c r="A11" s="3" t="inlineStr">
        <is>
          <t>تفصيل الراتب</t>
        </is>
      </c>
    </row>
    <row r="12">
      <c r="A12" s="8" t="inlineStr">
        <is>
          <t>البند</t>
        </is>
      </c>
      <c r="B12" s="8" t="inlineStr">
        <is>
          <t>شهري (ريال)</t>
        </is>
      </c>
      <c r="C12" s="8" t="inlineStr">
        <is>
          <t>سنوي (ريال)</t>
        </is>
      </c>
    </row>
    <row r="13">
      <c r="A13" s="4" t="inlineStr">
        <is>
          <t>الراتب الأساسي</t>
        </is>
      </c>
      <c r="B13" s="9">
        <f>ROUND(IF((1+B5)*B4/(1+B5+B6-B7*(1+B5))&lt;=B9,B4/(1+B5+B6-B7*(1+B5)),(B4+B7*B9)/(1+B5+B6)),0)</f>
        <v/>
      </c>
      <c r="C13" s="9">
        <f>B13*12</f>
        <v/>
      </c>
    </row>
    <row r="14">
      <c r="A14" s="4" t="inlineStr">
        <is>
          <t>بدل السكن</t>
        </is>
      </c>
      <c r="B14" s="9">
        <f>ROUND(B13*B5,0)</f>
        <v/>
      </c>
      <c r="C14" s="9">
        <f>B14*12</f>
        <v/>
      </c>
    </row>
    <row r="15">
      <c r="A15" s="4" t="inlineStr">
        <is>
          <t>بدل النقل</t>
        </is>
      </c>
      <c r="B15" s="9">
        <f>ROUND(B13*B6,0)</f>
        <v/>
      </c>
      <c r="C15" s="9">
        <f>B15*12</f>
        <v/>
      </c>
    </row>
    <row r="16">
      <c r="A16" s="10" t="inlineStr">
        <is>
          <t>إجمالي الراتب</t>
        </is>
      </c>
      <c r="B16" s="11">
        <f>SUM(B13:B15)</f>
        <v/>
      </c>
      <c r="C16" s="11">
        <f>B16*12</f>
        <v/>
      </c>
    </row>
    <row r="17">
      <c r="A17" s="4" t="inlineStr">
        <is>
          <t>الأجر الخاضع للتأمينات</t>
        </is>
      </c>
      <c r="B17" s="9">
        <f>MIN(B13+B14,B9)</f>
        <v/>
      </c>
      <c r="C17" s="9">
        <f>B17*12</f>
        <v/>
      </c>
    </row>
    <row r="18">
      <c r="A18" s="4" t="inlineStr">
        <is>
          <t>خصم التأمينات (حصة الموظف)</t>
        </is>
      </c>
      <c r="B18" s="9">
        <f>-ROUND(B17*B7,2)</f>
        <v/>
      </c>
      <c r="C18" s="9">
        <f>B18*12</f>
        <v/>
      </c>
    </row>
    <row r="19">
      <c r="A19" s="10" t="inlineStr">
        <is>
          <t>صافي الراتب للموظف</t>
        </is>
      </c>
      <c r="B19" s="11">
        <f>B16+B18</f>
        <v/>
      </c>
      <c r="C19" s="11">
        <f>B19*12</f>
        <v/>
      </c>
    </row>
    <row r="20">
      <c r="A20" s="4" t="inlineStr">
        <is>
          <t>حصة الشركة في التأمينات</t>
        </is>
      </c>
      <c r="B20" s="9">
        <f>ROUND(B17*B8,2)</f>
        <v/>
      </c>
      <c r="C20" s="9">
        <f>B20*12</f>
        <v/>
      </c>
    </row>
    <row r="21">
      <c r="A21" s="10" t="inlineStr">
        <is>
          <t>التكلفة الإجمالية على الشركة</t>
        </is>
      </c>
      <c r="B21" s="11">
        <f>B16+B20</f>
        <v/>
      </c>
      <c r="C21" s="11">
        <f>B21*12</f>
        <v/>
      </c>
    </row>
    <row r="23">
      <c r="A23" s="2" t="inlineStr">
        <is>
          <t>ملاحظة: التأمين الطبي VIP للعائلة تقديريًا 25,000–45,000 ريال سنويًا يُضاف للتكلفة.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الخيار أ — حافز من صافي الأرباح (15%–20%)</t>
        </is>
      </c>
    </row>
    <row r="3">
      <c r="A3" s="3" t="inlineStr">
        <is>
          <t>المدخلات</t>
        </is>
      </c>
    </row>
    <row r="4">
      <c r="A4" s="4" t="inlineStr">
        <is>
          <t>صافي الربح المستهدف (ريال)</t>
        </is>
      </c>
      <c r="B4" s="5" t="n">
        <v>20000000</v>
      </c>
    </row>
    <row r="5">
      <c r="A5" s="4" t="inlineStr">
        <is>
          <t>صافي الربح الفعلي (ريال)</t>
        </is>
      </c>
      <c r="B5" s="5" t="n">
        <v>22000000</v>
      </c>
    </row>
    <row r="6">
      <c r="A6" s="4" t="inlineStr">
        <is>
          <t>الحد الأدنى للإنجاز (لا حافز تحته)</t>
        </is>
      </c>
      <c r="B6" s="6" t="n">
        <v>0.8</v>
      </c>
    </row>
    <row r="7">
      <c r="A7" s="4" t="inlineStr">
        <is>
          <t>النسبة عند الحد الأدنى</t>
        </is>
      </c>
      <c r="B7" s="6" t="n">
        <v>0.1</v>
      </c>
    </row>
    <row r="8">
      <c r="A8" s="4" t="inlineStr">
        <is>
          <t>النسبة عند تحقيق الهدف 100%</t>
        </is>
      </c>
      <c r="B8" s="6" t="n">
        <v>0.15</v>
      </c>
    </row>
    <row r="9">
      <c r="A9" s="4" t="inlineStr">
        <is>
          <t>النسبة القصوى</t>
        </is>
      </c>
      <c r="B9" s="6" t="n">
        <v>0.2</v>
      </c>
    </row>
    <row r="10">
      <c r="A10" s="4" t="inlineStr">
        <is>
          <t>الإنجاز الذي تُبلغ عنده النسبة القصوى</t>
        </is>
      </c>
      <c r="B10" s="6" t="n">
        <v>1.2</v>
      </c>
    </row>
    <row r="11">
      <c r="A11" s="4" t="inlineStr">
        <is>
          <t>سقف الحافز السنوي (ريال، 0 = بدون سقف)</t>
        </is>
      </c>
      <c r="B11" s="5" t="n">
        <v>0</v>
      </c>
    </row>
    <row r="12">
      <c r="A12" s="4" t="inlineStr">
        <is>
          <t>نسبة الدفع الفوري</t>
        </is>
      </c>
      <c r="B12" s="6" t="n">
        <v>0.7</v>
      </c>
    </row>
    <row r="14">
      <c r="A14" s="3" t="inlineStr">
        <is>
          <t>النتيجة</t>
        </is>
      </c>
    </row>
    <row r="15">
      <c r="A15" s="4" t="inlineStr">
        <is>
          <t>نسبة الإنجاز</t>
        </is>
      </c>
      <c r="B15" s="12">
        <f>IF(B4=0,0,B5/B4)</f>
        <v/>
      </c>
    </row>
    <row r="16">
      <c r="A16" s="4" t="inlineStr">
        <is>
          <t>نسبة الحافز المستحقة</t>
        </is>
      </c>
      <c r="B16" s="13">
        <f>IF(B15&lt;$B$6,0,IF(B15&lt;=1,$B$7+($B$8-$B$7)*(B15-$B$6)/(1-$B$6),MIN($B$9,$B$8+($B$9-$B$8)*(B15-1)/($B$10-1))))</f>
        <v/>
      </c>
    </row>
    <row r="17">
      <c r="A17" s="4" t="inlineStr">
        <is>
          <t>الحافز قبل السقف</t>
        </is>
      </c>
      <c r="B17" s="9">
        <f>MAX(0,B16*B5)</f>
        <v/>
      </c>
    </row>
    <row r="18">
      <c r="A18" s="10" t="inlineStr">
        <is>
          <t>الحافز المستحق</t>
        </is>
      </c>
      <c r="B18" s="11">
        <f>IF(B11&gt;0,MIN(B17,B11),B17)</f>
        <v/>
      </c>
    </row>
    <row r="19">
      <c r="A19" s="4" t="inlineStr">
        <is>
          <t>يُدفع فورًا</t>
        </is>
      </c>
      <c r="B19" s="9">
        <f>B18*B12</f>
        <v/>
      </c>
    </row>
    <row r="20">
      <c r="A20" s="4" t="inlineStr">
        <is>
          <t>مؤجل 12 شهرًا</t>
        </is>
      </c>
      <c r="B20" s="9">
        <f>B18-B19</f>
        <v/>
      </c>
    </row>
    <row r="22">
      <c r="A22" s="3" t="inlineStr">
        <is>
          <t>جدول سيناريوهات (على نفس المستهدف)</t>
        </is>
      </c>
    </row>
    <row r="23">
      <c r="A23" s="8" t="inlineStr">
        <is>
          <t>نسبة الإنجاز</t>
        </is>
      </c>
      <c r="B23" s="8" t="inlineStr">
        <is>
          <t>صافي الربح (ريال)</t>
        </is>
      </c>
      <c r="C23" s="8" t="inlineStr">
        <is>
          <t>نسبة الحافز</t>
        </is>
      </c>
      <c r="D23" s="8" t="inlineStr">
        <is>
          <t>الحافز (ريال)</t>
        </is>
      </c>
    </row>
    <row r="24">
      <c r="A24" s="14" t="n">
        <v>0.7</v>
      </c>
      <c r="B24" s="9">
        <f>A24*$B$4</f>
        <v/>
      </c>
      <c r="C24" s="13">
        <f>IF(A24&lt;$B$6,0,IF(A24&lt;=1,$B$7+($B$8-$B$7)*(A24-$B$6)/(1-$B$6),MIN($B$9,$B$8+($B$9-$B$8)*(A24-1)/($B$10-1))))</f>
        <v/>
      </c>
      <c r="D24" s="9">
        <f>IF($B$11&gt;0,MIN(C24*B24,$B$11),MAX(0,C24*B24))</f>
        <v/>
      </c>
    </row>
    <row r="25">
      <c r="A25" s="14" t="n">
        <v>0.8</v>
      </c>
      <c r="B25" s="9">
        <f>A25*$B$4</f>
        <v/>
      </c>
      <c r="C25" s="13">
        <f>IF(A25&lt;$B$6,0,IF(A25&lt;=1,$B$7+($B$8-$B$7)*(A25-$B$6)/(1-$B$6),MIN($B$9,$B$8+($B$9-$B$8)*(A25-1)/($B$10-1))))</f>
        <v/>
      </c>
      <c r="D25" s="9">
        <f>IF($B$11&gt;0,MIN(C25*B25,$B$11),MAX(0,C25*B25))</f>
        <v/>
      </c>
    </row>
    <row r="26">
      <c r="A26" s="14" t="n">
        <v>0.9</v>
      </c>
      <c r="B26" s="9">
        <f>A26*$B$4</f>
        <v/>
      </c>
      <c r="C26" s="13">
        <f>IF(A26&lt;$B$6,0,IF(A26&lt;=1,$B$7+($B$8-$B$7)*(A26-$B$6)/(1-$B$6),MIN($B$9,$B$8+($B$9-$B$8)*(A26-1)/($B$10-1))))</f>
        <v/>
      </c>
      <c r="D26" s="9">
        <f>IF($B$11&gt;0,MIN(C26*B26,$B$11),MAX(0,C26*B26))</f>
        <v/>
      </c>
    </row>
    <row r="27">
      <c r="A27" s="14" t="n">
        <v>1</v>
      </c>
      <c r="B27" s="9">
        <f>A27*$B$4</f>
        <v/>
      </c>
      <c r="C27" s="13">
        <f>IF(A27&lt;$B$6,0,IF(A27&lt;=1,$B$7+($B$8-$B$7)*(A27-$B$6)/(1-$B$6),MIN($B$9,$B$8+($B$9-$B$8)*(A27-1)/($B$10-1))))</f>
        <v/>
      </c>
      <c r="D27" s="9">
        <f>IF($B$11&gt;0,MIN(C27*B27,$B$11),MAX(0,C27*B27))</f>
        <v/>
      </c>
    </row>
    <row r="28">
      <c r="A28" s="14" t="n">
        <v>1.1</v>
      </c>
      <c r="B28" s="9">
        <f>A28*$B$4</f>
        <v/>
      </c>
      <c r="C28" s="13">
        <f>IF(A28&lt;$B$6,0,IF(A28&lt;=1,$B$7+($B$8-$B$7)*(A28-$B$6)/(1-$B$6),MIN($B$9,$B$8+($B$9-$B$8)*(A28-1)/($B$10-1))))</f>
        <v/>
      </c>
      <c r="D28" s="9">
        <f>IF($B$11&gt;0,MIN(C28*B28,$B$11),MAX(0,C28*B28))</f>
        <v/>
      </c>
    </row>
    <row r="29">
      <c r="A29" s="14" t="n">
        <v>1.2</v>
      </c>
      <c r="B29" s="9">
        <f>A29*$B$4</f>
        <v/>
      </c>
      <c r="C29" s="13">
        <f>IF(A29&lt;$B$6,0,IF(A29&lt;=1,$B$7+($B$8-$B$7)*(A29-$B$6)/(1-$B$6),MIN($B$9,$B$8+($B$9-$B$8)*(A29-1)/($B$10-1))))</f>
        <v/>
      </c>
      <c r="D29" s="9">
        <f>IF($B$11&gt;0,MIN(C29*B29,$B$11),MAX(0,C29*B29))</f>
        <v/>
      </c>
    </row>
    <row r="30">
      <c r="A30" s="14" t="n">
        <v>1.3</v>
      </c>
      <c r="B30" s="9">
        <f>A30*$B$4</f>
        <v/>
      </c>
      <c r="C30" s="13">
        <f>IF(A30&lt;$B$6,0,IF(A30&lt;=1,$B$7+($B$8-$B$7)*(A30-$B$6)/(1-$B$6),MIN($B$9,$B$8+($B$9-$B$8)*(A30-1)/($B$10-1))))</f>
        <v/>
      </c>
      <c r="D30" s="9">
        <f>IF($B$11&gt;0,MIN(C30*B30,$B$11),MAX(0,C30*B30))</f>
        <v/>
      </c>
    </row>
    <row r="31">
      <c r="A31" s="14" t="n">
        <v>1.5</v>
      </c>
      <c r="B31" s="9">
        <f>A31*$B$4</f>
        <v/>
      </c>
      <c r="C31" s="13">
        <f>IF(A31&lt;$B$6,0,IF(A31&lt;=1,$B$7+($B$8-$B$7)*(A31-$B$6)/(1-$B$6),MIN($B$9,$B$8+($B$9-$B$8)*(A31-1)/($B$10-1))))</f>
        <v/>
      </c>
      <c r="D31" s="9">
        <f>IF($B$11&gt;0,MIN(C31*B31,$B$11),MAX(0,C31*B31))</f>
        <v/>
      </c>
    </row>
    <row r="33">
      <c r="A33" s="2" t="inlineStr">
        <is>
          <t>المعادلة: تحت الحد الأدنى = 0 · من 80% إلى 100% خطي 10%→15% · من 100% إلى 120% خطي 15%→20% · بعدها 20%</t>
        </is>
      </c>
    </row>
    <row r="35">
      <c r="A35" s="3" t="inlineStr">
        <is>
          <t>جدول الصرف — الحافز سنوي ويُصرف بعد اعتماد القوائم المراجعة</t>
        </is>
      </c>
    </row>
    <row r="36">
      <c r="A36" s="4" t="inlineStr">
        <is>
          <t>السنة المالية</t>
        </is>
      </c>
      <c r="B36" s="15" t="n">
        <v>2027</v>
      </c>
    </row>
    <row r="37">
      <c r="A37" s="4" t="inlineStr">
        <is>
          <t>أشهر بعد نهاية السنة لاعتماد القوائم</t>
        </is>
      </c>
      <c r="B37" s="15" t="n">
        <v>4</v>
      </c>
    </row>
    <row r="38">
      <c r="A38" s="4" t="inlineStr">
        <is>
          <t>مدة تأجيل الجزء المؤجل (شهر)</t>
        </is>
      </c>
      <c r="B38" s="15" t="n">
        <v>12</v>
      </c>
    </row>
    <row r="39">
      <c r="A39" s="8" t="inlineStr">
        <is>
          <t>البند</t>
        </is>
      </c>
      <c r="B39" s="8" t="inlineStr">
        <is>
          <t>التاريخ</t>
        </is>
      </c>
      <c r="C39" s="8" t="inlineStr">
        <is>
          <t>المبلغ (ريال)</t>
        </is>
      </c>
    </row>
    <row r="40">
      <c r="A40" s="4" t="inlineStr">
        <is>
          <t>نهاية السنة المالية</t>
        </is>
      </c>
      <c r="B40" s="16">
        <f>DATE(B36,12,31)</f>
        <v/>
      </c>
      <c r="C40" s="9" t="inlineStr">
        <is>
          <t>-</t>
        </is>
      </c>
    </row>
    <row r="41">
      <c r="A41" s="4" t="inlineStr">
        <is>
          <t>صرف الدفعة الفورية</t>
        </is>
      </c>
      <c r="B41" s="16">
        <f>EOMONTH(B40,B37)</f>
        <v/>
      </c>
      <c r="C41" s="9">
        <f>B19</f>
        <v/>
      </c>
    </row>
    <row r="42">
      <c r="A42" s="4" t="inlineStr">
        <is>
          <t>صرف الجزء المؤجل</t>
        </is>
      </c>
      <c r="B42" s="16">
        <f>EOMONTH(B41,B38)</f>
        <v/>
      </c>
      <c r="C42" s="9">
        <f>B20</f>
        <v/>
      </c>
    </row>
    <row r="44">
      <c r="A44" s="3" t="inlineStr">
        <is>
          <t>مثال على عدة سنوات — كيف تتداخل الدفعات</t>
        </is>
      </c>
    </row>
    <row r="45">
      <c r="A45" s="8" t="inlineStr">
        <is>
          <t>السنة المالية</t>
        </is>
      </c>
      <c r="B45" s="8" t="inlineStr">
        <is>
          <t>الربح المستهدف (ريال)</t>
        </is>
      </c>
      <c r="C45" s="8" t="inlineStr">
        <is>
          <t>الربح الفعلي (ريال)</t>
        </is>
      </c>
      <c r="D45" s="8" t="inlineStr">
        <is>
          <t>الحافز (ريال)</t>
        </is>
      </c>
      <c r="E45" s="8" t="inlineStr">
        <is>
          <t>فوري (ريال)</t>
        </is>
      </c>
      <c r="F45" s="8" t="inlineStr">
        <is>
          <t>مؤجل (ريال)</t>
        </is>
      </c>
    </row>
    <row r="46">
      <c r="A46" s="17">
        <f>$B$36+0</f>
        <v/>
      </c>
      <c r="B46" s="5" t="n">
        <v>20000000</v>
      </c>
      <c r="C46" s="5" t="n">
        <v>22000000</v>
      </c>
      <c r="D46" s="9">
        <f>IF($B$11&gt;0,MIN(MAX(0,(IF(IF(B46=0,0,C46/B46)&lt;$B$6,0,IF(IF(B46=0,0,C46/B46)&lt;=1,$B$7+($B$8-$B$7)*(IF(B46=0,0,C46/B46)-$B$6)/(1-$B$6),MIN($B$9,$B$8+($B$9-$B$8)*(IF(B46=0,0,C46/B46)-1)/($B$10-1)))))*C46),$B$11),MAX(0,(IF(IF(B46=0,0,C46/B46)&lt;$B$6,0,IF(IF(B46=0,0,C46/B46)&lt;=1,$B$7+($B$8-$B$7)*(IF(B46=0,0,C46/B46)-$B$6)/(1-$B$6),MIN($B$9,$B$8+($B$9-$B$8)*(IF(B46=0,0,C46/B46)-1)/($B$10-1)))))*C46))</f>
        <v/>
      </c>
      <c r="E46" s="9">
        <f>D46*$B$12</f>
        <v/>
      </c>
      <c r="F46" s="9">
        <f>D46-E46</f>
        <v/>
      </c>
    </row>
    <row r="47">
      <c r="A47" s="17">
        <f>$B$36+1</f>
        <v/>
      </c>
      <c r="B47" s="5" t="n">
        <v>24000000</v>
      </c>
      <c r="C47" s="5" t="n">
        <v>25000000</v>
      </c>
      <c r="D47" s="9">
        <f>IF($B$11&gt;0,MIN(MAX(0,(IF(IF(B47=0,0,C47/B47)&lt;$B$6,0,IF(IF(B47=0,0,C47/B47)&lt;=1,$B$7+($B$8-$B$7)*(IF(B47=0,0,C47/B47)-$B$6)/(1-$B$6),MIN($B$9,$B$8+($B$9-$B$8)*(IF(B47=0,0,C47/B47)-1)/($B$10-1)))))*C47),$B$11),MAX(0,(IF(IF(B47=0,0,C47/B47)&lt;$B$6,0,IF(IF(B47=0,0,C47/B47)&lt;=1,$B$7+($B$8-$B$7)*(IF(B47=0,0,C47/B47)-$B$6)/(1-$B$6),MIN($B$9,$B$8+($B$9-$B$8)*(IF(B47=0,0,C47/B47)-1)/($B$10-1)))))*C47))</f>
        <v/>
      </c>
      <c r="E47" s="9">
        <f>D47*$B$12</f>
        <v/>
      </c>
      <c r="F47" s="9">
        <f>D47-E47</f>
        <v/>
      </c>
    </row>
    <row r="48">
      <c r="A48" s="17">
        <f>$B$36+2</f>
        <v/>
      </c>
      <c r="B48" s="5" t="n">
        <v>28000000</v>
      </c>
      <c r="C48" s="5" t="n">
        <v>30000000</v>
      </c>
      <c r="D48" s="9">
        <f>IF($B$11&gt;0,MIN(MAX(0,(IF(IF(B48=0,0,C48/B48)&lt;$B$6,0,IF(IF(B48=0,0,C48/B48)&lt;=1,$B$7+($B$8-$B$7)*(IF(B48=0,0,C48/B48)-$B$6)/(1-$B$6),MIN($B$9,$B$8+($B$9-$B$8)*(IF(B48=0,0,C48/B48)-1)/($B$10-1)))))*C48),$B$11),MAX(0,(IF(IF(B48=0,0,C48/B48)&lt;$B$6,0,IF(IF(B48=0,0,C48/B48)&lt;=1,$B$7+($B$8-$B$7)*(IF(B48=0,0,C48/B48)-$B$6)/(1-$B$6),MIN($B$9,$B$8+($B$9-$B$8)*(IF(B48=0,0,C48/B48)-1)/($B$10-1)))))*C48))</f>
        <v/>
      </c>
      <c r="E48" s="9">
        <f>D48*$B$12</f>
        <v/>
      </c>
      <c r="F48" s="9">
        <f>D48-E48</f>
        <v/>
      </c>
    </row>
    <row r="50">
      <c r="A50" s="8" t="inlineStr">
        <is>
          <t>سنة الاستلام</t>
        </is>
      </c>
      <c r="B50" s="8" t="inlineStr">
        <is>
          <t>من فوري السنة السابقة</t>
        </is>
      </c>
      <c r="C50" s="8" t="inlineStr">
        <is>
          <t>من مؤجل ما قبلها</t>
        </is>
      </c>
      <c r="D50" s="8" t="inlineStr">
        <is>
          <t>إجمالي ما يستلمه</t>
        </is>
      </c>
    </row>
    <row r="51">
      <c r="A51" s="17">
        <f>$B$36+1</f>
        <v/>
      </c>
      <c r="B51" s="9">
        <f>SUMIF($A$46:$A$48,A51-1,$E$46:$E$48)</f>
        <v/>
      </c>
      <c r="C51" s="9">
        <f>SUMIF($A$46:$A$48,A51-2,$F$46:$F$48)</f>
        <v/>
      </c>
      <c r="D51" s="11">
        <f>B51+C51</f>
        <v/>
      </c>
    </row>
    <row r="52">
      <c r="A52" s="17">
        <f>$B$36+2</f>
        <v/>
      </c>
      <c r="B52" s="9">
        <f>SUMIF($A$46:$A$48,A52-1,$E$46:$E$48)</f>
        <v/>
      </c>
      <c r="C52" s="9">
        <f>SUMIF($A$46:$A$48,A52-2,$F$46:$F$48)</f>
        <v/>
      </c>
      <c r="D52" s="11">
        <f>B52+C52</f>
        <v/>
      </c>
    </row>
    <row r="53">
      <c r="A53" s="17">
        <f>$B$36+3</f>
        <v/>
      </c>
      <c r="B53" s="9">
        <f>SUMIF($A$46:$A$48,A53-1,$E$46:$E$48)</f>
        <v/>
      </c>
      <c r="C53" s="9">
        <f>SUMIF($A$46:$A$48,A53-2,$F$46:$F$48)</f>
        <v/>
      </c>
      <c r="D53" s="11">
        <f>B53+C53</f>
        <v/>
      </c>
    </row>
    <row r="54">
      <c r="A54" s="17">
        <f>$B$36+4</f>
        <v/>
      </c>
      <c r="B54" s="9">
        <f>SUMIF($A$46:$A$48,A54-1,$E$46:$E$48)</f>
        <v/>
      </c>
      <c r="C54" s="9">
        <f>SUMIF($A$46:$A$48,A54-2,$F$46:$F$48)</f>
        <v/>
      </c>
      <c r="D54" s="11">
        <f>B54+C54</f>
        <v/>
      </c>
    </row>
    <row r="55">
      <c r="A55" s="2" t="inlineStr">
        <is>
          <t>الفوري يُصرف في السنة التالية بعد اعتماد القوائم، والمؤجل بعدها بسنة بشرط الاستمرار. الخلايا الصفراء أرقام مثال.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الخيار ب — حافز المحفظة (1%–2%)</t>
        </is>
      </c>
    </row>
    <row r="3">
      <c r="A3" s="3" t="inlineStr">
        <is>
          <t>المدخلات</t>
        </is>
      </c>
    </row>
    <row r="4">
      <c r="A4" s="4" t="inlineStr">
        <is>
          <t>حد بداية الحافز (ريال)</t>
        </is>
      </c>
      <c r="B4" s="5" t="n">
        <v>100000000</v>
      </c>
    </row>
    <row r="5">
      <c r="A5" s="4" t="inlineStr">
        <is>
          <t>النسبة عند الحد</t>
        </is>
      </c>
      <c r="B5" s="7" t="n">
        <v>0.01</v>
      </c>
    </row>
    <row r="6">
      <c r="A6" s="4" t="inlineStr">
        <is>
          <t>النسبة القصوى</t>
        </is>
      </c>
      <c r="B6" s="7" t="n">
        <v>0.02</v>
      </c>
    </row>
    <row r="7">
      <c r="A7" s="4" t="inlineStr">
        <is>
          <t>قيمة المحفظة عند النسبة القصوى (ريال)</t>
        </is>
      </c>
      <c r="B7" s="5" t="n">
        <v>200000000</v>
      </c>
    </row>
    <row r="8">
      <c r="A8" s="2" t="inlineStr">
        <is>
          <t>المحفظة = إجمالي المبيعات المتعاقد عليها والمحصّلة تراكميًا من تاريخ المباشرة</t>
        </is>
      </c>
    </row>
    <row r="10">
      <c r="A10" s="3" t="inlineStr">
        <is>
          <t>الاستحقاق السنوي (أدخل قيمة المحفظة التراكمية لكل سنة)</t>
        </is>
      </c>
    </row>
    <row r="11">
      <c r="A11" s="8" t="inlineStr">
        <is>
          <t>السنة</t>
        </is>
      </c>
      <c r="B11" s="8" t="inlineStr">
        <is>
          <t>المحفظة التراكمية (ريال)</t>
        </is>
      </c>
      <c r="C11" s="8" t="inlineStr">
        <is>
          <t>النسبة</t>
        </is>
      </c>
      <c r="D11" s="8" t="inlineStr">
        <is>
          <t>الاستحقاق التراكمي (ريال)</t>
        </is>
      </c>
      <c r="E11" s="8" t="inlineStr">
        <is>
          <t>يُصرف هذه السنة (ريال)</t>
        </is>
      </c>
    </row>
    <row r="12">
      <c r="A12" s="18" t="inlineStr">
        <is>
          <t>السنة 1</t>
        </is>
      </c>
      <c r="B12" s="5" t="n">
        <v>60000000</v>
      </c>
      <c r="C12" s="13">
        <f>IF(B12&lt;$B$4,0,MIN($B$6,$B$5+($B$6-$B$5)*(B12-$B$4)/($B$7-$B$4)))</f>
        <v/>
      </c>
      <c r="D12" s="9">
        <f>C12*B12</f>
        <v/>
      </c>
      <c r="E12" s="9">
        <f>MAX(0,D12)</f>
        <v/>
      </c>
    </row>
    <row r="13">
      <c r="A13" s="18" t="inlineStr">
        <is>
          <t>السنة 2</t>
        </is>
      </c>
      <c r="B13" s="5" t="n">
        <v>100000000</v>
      </c>
      <c r="C13" s="13">
        <f>IF(B13&lt;$B$4,0,MIN($B$6,$B$5+($B$6-$B$5)*(B13-$B$4)/($B$7-$B$4)))</f>
        <v/>
      </c>
      <c r="D13" s="9">
        <f>C13*B13</f>
        <v/>
      </c>
      <c r="E13" s="9">
        <f>MAX(0,D13-MAX($D$12:D12))</f>
        <v/>
      </c>
    </row>
    <row r="14">
      <c r="A14" s="18" t="inlineStr">
        <is>
          <t>السنة 3</t>
        </is>
      </c>
      <c r="B14" s="5" t="n">
        <v>150000000</v>
      </c>
      <c r="C14" s="13">
        <f>IF(B14&lt;$B$4,0,MIN($B$6,$B$5+($B$6-$B$5)*(B14-$B$4)/($B$7-$B$4)))</f>
        <v/>
      </c>
      <c r="D14" s="9">
        <f>C14*B14</f>
        <v/>
      </c>
      <c r="E14" s="9">
        <f>MAX(0,D14-MAX($D$12:D13))</f>
        <v/>
      </c>
    </row>
    <row r="15">
      <c r="A15" s="18" t="inlineStr">
        <is>
          <t>السنة 4</t>
        </is>
      </c>
      <c r="B15" s="5" t="n">
        <v>200000000</v>
      </c>
      <c r="C15" s="13">
        <f>IF(B15&lt;$B$4,0,MIN($B$6,$B$5+($B$6-$B$5)*(B15-$B$4)/($B$7-$B$4)))</f>
        <v/>
      </c>
      <c r="D15" s="9">
        <f>C15*B15</f>
        <v/>
      </c>
      <c r="E15" s="9">
        <f>MAX(0,D15-MAX($D$12:D14))</f>
        <v/>
      </c>
    </row>
    <row r="16">
      <c r="A16" s="18" t="inlineStr">
        <is>
          <t>السنة 5</t>
        </is>
      </c>
      <c r="B16" s="5" t="n">
        <v>300000000</v>
      </c>
      <c r="C16" s="13">
        <f>IF(B16&lt;$B$4,0,MIN($B$6,$B$5+($B$6-$B$5)*(B16-$B$4)/($B$7-$B$4)))</f>
        <v/>
      </c>
      <c r="D16" s="9">
        <f>C16*B16</f>
        <v/>
      </c>
      <c r="E16" s="9">
        <f>MAX(0,D16-MAX($D$12:D15))</f>
        <v/>
      </c>
    </row>
    <row r="17">
      <c r="A17" s="10" t="inlineStr">
        <is>
          <t>إجمالي المصروف</t>
        </is>
      </c>
      <c r="E17" s="11">
        <f>SUM(E12:E16)</f>
        <v/>
      </c>
    </row>
    <row r="19">
      <c r="A19" s="2" t="inlineStr">
        <is>
          <t>يُصرف الفرق فقط بين الاستحقاق الحالي وأعلى استحقاق سابق، حتى لا يُدفع على نفس القيمة مرتين.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2026-10-05T18:50:02Z</dcterms:created>
  <dcterms:modified xsi:type="dcterms:W3CDTF">2026-10-05T18:50:02Z</dcterms:modified>
</cp:coreProperties>
</file>