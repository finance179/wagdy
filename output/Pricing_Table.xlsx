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جدول التسعير" sheetId="1" state="visible" r:id="rId3"/>
    <sheet name="الميزانية الأصلية" sheetId="2" state="visible" r:id="rId4"/>
    <sheet name="مصدر الأرقام"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2" authorId="0">
      <text>
        <r>
          <rPr>
            <sz val="10"/>
            <rFont val="FreeSans"/>
            <family val="2"/>
          </rPr>
          <t xml:space="preserve">قيمة معطاة مسبقًا من العميل لبند منطقة الصانع الصغير — إدخال يدوي، غير مشتقة من شيت الميزانية الأصلية</t>
        </r>
        <r>
          <rPr>
            <sz val="10"/>
            <rFont val="Arial"/>
            <family val="2"/>
          </rPr>
          <t xml:space="preserve">.</t>
        </r>
      </text>
    </comment>
  </commentList>
</comments>
</file>

<file path=xl/sharedStrings.xml><?xml version="1.0" encoding="utf-8"?>
<sst xmlns="http://schemas.openxmlformats.org/spreadsheetml/2006/main" count="109" uniqueCount="85">
  <si>
    <t xml:space="preserve">م</t>
  </si>
  <si>
    <t xml:space="preserve">البند</t>
  </si>
  <si>
    <t xml:space="preserve">وصف البند</t>
  </si>
  <si>
    <t xml:space="preserve">وحدة القياس</t>
  </si>
  <si>
    <t xml:space="preserve">#</t>
  </si>
  <si>
    <t xml:space="preserve">السعر</t>
  </si>
  <si>
    <t xml:space="preserve">منطقة الصانع الصغير</t>
  </si>
  <si>
    <t xml:space="preserve">تصميم وتنفيذ وتجهيز مساحة تفاعلية مخصصة للأطفال، تقدّم محاكاة مبسطة لعدد من خطوط الإنتاج الوطنية بأسلوب ترفيهي وتعليمي يسهم في تنمية المعرفة الصناعية لدى الزائر الصغير.</t>
  </si>
  <si>
    <t xml:space="preserve">خدمة</t>
  </si>
  <si>
    <t xml:space="preserve">منطقة سعودي بيوتي</t>
  </si>
  <si>
    <t xml:space="preserve">تجهيز منصة مخصصة لإبراز العلامات التجارية السعودية في قطاع التجميل والعناية الشخصية، مع توفير تجارب مباشرة للزوار ومساحات مناسبة لعرض المنتجات.</t>
  </si>
  <si>
    <t xml:space="preserve">عالم الصناعة</t>
  </si>
  <si>
    <t xml:space="preserve">تجهيز منطقة استعراضية تعتمد على التقنيات الرقمية والشاشات التفاعلية والعروض البصرية الحديثة، تعكس تطور القطاع الصناعي في المملكة بصورة مبتكرة.</t>
  </si>
  <si>
    <t xml:space="preserve">سوق السعودية</t>
  </si>
  <si>
    <t xml:space="preserve">تجهيز وتنظيم منطقة مخصصة لعرض وبيع منتجات المصانع الوطنية، مع توفير تجربة تسوق حديثة وتنظيم مناسب لحركة الزوار ونقاط البيع.</t>
  </si>
  <si>
    <t xml:space="preserve">مسرح الصناعة</t>
  </si>
  <si>
    <t xml:space="preserve">تجهيز منصة متعددة الاستخدامات تستضيف العروض اليومية والجلسات الحوارية والفعاليات التفاعلية، مع توفير جلسات مريحة للزوار.</t>
  </si>
  <si>
    <t xml:space="preserve">نقاط الضيافة السعودية</t>
  </si>
  <si>
    <t xml:space="preserve">تصميم وتوريد وتركيب أكشاك ضيافة مخصصة لتقديم منتجات ومأكولات ومشروبات من العلامات التجارية الوطنية، بما يعزز تجربة الزائر ويبرز جودة المنتجات المحلية.</t>
  </si>
  <si>
    <t xml:space="preserve">الأعمال الإنشائية والتشطيبات العامة</t>
  </si>
  <si>
    <t xml:space="preserve">تنفيذ الهياكل الإنشائية والتشطيبات العامة لكامل مساحة المشروع باستخدام مواد عالية الجودة (هياكل معدنية معالجة، ألواح MgO/Cement Board، عناصر GRC، ألواح CNC، مجسمات FRP، دهانات خارجية، إضاءة LED) تحقق مقاومة العوامل الجوية والحريق وسهولة الصيانة.</t>
  </si>
  <si>
    <t xml:space="preserve">م²</t>
  </si>
  <si>
    <t xml:space="preserve">الهوية البصرية وتجربة الزائر</t>
  </si>
  <si>
    <t xml:space="preserve">تصميم وتنفيذ عناصر الهوية البصرية الموحّدة لجميع مرافق المشروع، تشمل اللوحات الإرشادية، الخرائط التعريفية، والرسومات المستوحاة من الصناعة والتقنية والابتكار، مع دمج الوسائط الرقمية والتفاعلية.</t>
  </si>
  <si>
    <t xml:space="preserve">التشغيل والخدمات المساندة</t>
  </si>
  <si>
    <t xml:space="preserve">تقديم خطة تشغيلية متكاملة تشمل تنظيم حركة الزوار وإدارة الدخول، إدارة الطاقة الاستيعابية، عناصر الأمن والسلامة، الطواقم التشغيلية، الخدمات اللوجستية، وإدارة الطوارئ طوال مدة التشغيل، بالإضافة إلى خدمة النقل الداخلي وعدد 50 تذكرة شهرية (مواقف كبار الزوار).</t>
  </si>
  <si>
    <t xml:space="preserve">التسويق والإعلام</t>
  </si>
  <si>
    <t xml:space="preserve">تنفيذ حملة إعلامية متكاملة تشمل إنتاج محتوى رقمي احترافي، مواد مرئية قصيرة وطويلة، التعاون مع صناع المحتوى والمؤثرين، ودعم الحملات الرقمية عبر المنصات الاجتماعية وتوثيق الفعاليات.</t>
  </si>
  <si>
    <t xml:space="preserve">الإجمالي بدون ضريبة</t>
  </si>
  <si>
    <t xml:space="preserve">ضريبة القيمة المضافة (15%)</t>
  </si>
  <si>
    <t xml:space="preserve">الإجمالي شامل الضريبة</t>
  </si>
  <si>
    <t xml:space="preserve">افتراضات التوزيع التقديري (بند 2 + بند 5 + بند 6)</t>
  </si>
  <si>
    <t xml:space="preserve">إجمالي حصة (سعودي بيوتي + مسرح الصناعة + نقاط الضيافة) = (الصانع الصغير الكامل ناقص القيمة المعطاة للبند 1) + معدات وتطوير محتوى "تجارب متنوعة" (بدون تصميم الفكرة ومرحلة التشغيل، المخصصين للبندين 8 و9)</t>
  </si>
  <si>
    <t xml:space="preserve">وزن منطقة سعودي بيوتي (بند 2)</t>
  </si>
  <si>
    <t xml:space="preserve">وزن مسرح الصناعة (بند 5)</t>
  </si>
  <si>
    <t xml:space="preserve">وزن نقاط الضيافة السعودية (بند 6)</t>
  </si>
  <si>
    <t xml:space="preserve">عدّل نسب الأوزان الصفراء أعلاه حسب الحاجة — بنود 2، 5، 6 ستُعاد حسابها تلقائيًا. تغيير أي رقم في شيت "الميزانية الأصلية" ينعكس تلقائيًا على كل أسعار هذا الجدول (ما عدا بند 1 المعطى مسبقًا).</t>
  </si>
  <si>
    <t xml:space="preserve">التفاصيل</t>
  </si>
  <si>
    <t xml:space="preserve">المبلغ</t>
  </si>
  <si>
    <t xml:space="preserve">الإجمالي الفرعي</t>
  </si>
  <si>
    <t xml:space="preserve">المساحة الايجارية</t>
  </si>
  <si>
    <t xml:space="preserve">مساحة تأجيرية بمساحة 1,050 م²</t>
  </si>
  <si>
    <t xml:space="preserve">التسويق والعروض الشعبية</t>
  </si>
  <si>
    <t xml:space="preserve">عروض يومية ملهمة</t>
  </si>
  <si>
    <t xml:space="preserve">حملات تسويقية وترويجية</t>
  </si>
  <si>
    <t xml:space="preserve">التشغيل وبناء التجربة</t>
  </si>
  <si>
    <t xml:space="preserve">الصانع الصغير</t>
  </si>
  <si>
    <t xml:space="preserve">تصميم الفكرة</t>
  </si>
  <si>
    <t xml:space="preserve">التجهيزات التكنولوجية</t>
  </si>
  <si>
    <t xml:space="preserve">التجهيزات الفنية</t>
  </si>
  <si>
    <t xml:space="preserve">تطوير المحتوى</t>
  </si>
  <si>
    <t xml:space="preserve">مرحلة التشغيل</t>
  </si>
  <si>
    <t xml:space="preserve">خدمات إضافية</t>
  </si>
  <si>
    <t xml:space="preserve">سوق الصناعة السعودية</t>
  </si>
  <si>
    <t xml:space="preserve">معرض منظومة الصناعة</t>
  </si>
  <si>
    <t xml:space="preserve">تطوير المحتوى- نفق الصناعة</t>
  </si>
  <si>
    <t xml:space="preserve">تجـارب متنوعـة</t>
  </si>
  <si>
    <t xml:space="preserve">الإجمالي الفرعي (التشغيل وبناء التجربة)</t>
  </si>
  <si>
    <t xml:space="preserve">بناء</t>
  </si>
  <si>
    <t xml:space="preserve">تشييد المرافق المعمارية</t>
  </si>
  <si>
    <t xml:space="preserve">خدمة النقل الداخلي وعدد 50 تذكرة شهرية (مواقف كبار الزوار)</t>
  </si>
  <si>
    <t xml:space="preserve">الضريبة (15%)</t>
  </si>
  <si>
    <t xml:space="preserve">الإجمالي</t>
  </si>
  <si>
    <t xml:space="preserve">بند التسعير</t>
  </si>
  <si>
    <t xml:space="preserve">كيفية الاحتساب</t>
  </si>
  <si>
    <t xml:space="preserve">البند 1 — منطقة الصانع الصغير</t>
  </si>
  <si>
    <t xml:space="preserve">قيمة معطاة مسبقًا من العميل = 5,985,779.00 (تم اعتمادها كما هي دون إعادة اشتقاق).</t>
  </si>
  <si>
    <t xml:space="preserve">البند 3 — عالم الصناعة</t>
  </si>
  <si>
    <t xml:space="preserve">يساوي مجموعة "معرض منظومة الصناعة" (5,824,367.00) بعد استبعاد تصميم الفكرة (79,460) ومرحلة التشغيل (461,120) اللذين نُقلا إلى البندين 8 و9 = 5,283,787.00.</t>
  </si>
  <si>
    <t xml:space="preserve">البند 4 — سوق السعودية</t>
  </si>
  <si>
    <t xml:space="preserve">يساوي "التجهيزات التكنولوجية" لمجموعة سوق الصناعة السعودية بعد استبعاد تصميم الفكرة (24,833.00) ومرحلة التشغيل (522,602.66) من إجمالي المجموعة (1,128,315.66) = 580,880.00.</t>
  </si>
  <si>
    <t xml:space="preserve">البنود 2، 5، 6 — سعودي بيوتي / مسرح الصناعة / نقاط الضيافة</t>
  </si>
  <si>
    <t xml:space="preserve">مجموعهم = مجموعة "تجارب متنوعة" (1,402,515.50) بعد استبعاد تصميم الفكرة (37,743.50) ومرحلة التشغيل (461,120.00)، زائد الجزء المُعاد توزيعه من "خدمات إضافية" في مجموعة الصانع الصغير، بحيث يتحقق أن إجمالي البنود 1 إلى 6 = 16,346,424.00 (إجمالي فرع "التشغيل وبناء التجربة" في الميزانية الأصلية). الناتج 2,909,098.84 وُزّع بأوزان تقديرية حسب الحجم المتوقع لكل تجربة: سعودي بيوتي 35% = 1,018,184.59 | مسرح الصناعة 40% = 1,163,639.54 | نقاط الضيافة 25% = 727,274.71. هذا توزيع تقديري يحتاج مراجعة العميل.</t>
  </si>
  <si>
    <t xml:space="preserve">البند 7 — الأعمال الإنشائية والتشطيبات العامة</t>
  </si>
  <si>
    <t xml:space="preserve">المساحة الايجارية (10,500,000.00) + بناء: تشييد المرافق المعمارية (2,700,000.00) = 13,200,000.00. مطابقة مساحة 1,050 م² في الجدولين تؤكد هذا الربط.</t>
  </si>
  <si>
    <t xml:space="preserve">البند 8 — الهوية البصرية وتجربة الزائر</t>
  </si>
  <si>
    <t xml:space="preserve">مجموع "تصميم الفكرة" من كل المجموعات باستثناء الصانع الصغير (المدرج بالكامل ضمن البند 1): سوق الصناعة السعودية 24,833.00 + معرض منظومة الصناعة 79,460.00 + تجارب متنوعة 37,743.50 = 142,036.50.</t>
  </si>
  <si>
    <t xml:space="preserve">البند 9 — التشغيل والخدمات المساندة</t>
  </si>
  <si>
    <t xml:space="preserve">مجموع "مرحلة التشغيل" من كل المجموعات باستثناء الصانع الصغير: سوق الصناعة السعودية 522,602.66 + معرض منظومة الصناعة 461,120.00 + تجارب متنوعة 461,120.00 = 1,444,842.66، زائد "خدمة النقل الداخلي وعدد 50 تذكرة شهرية (مواقف كبار الزوار)" 200,000.00 = 1,644,842.66.</t>
  </si>
  <si>
    <t xml:space="preserve">البند 10 — التسويق والإعلام</t>
  </si>
  <si>
    <t xml:space="preserve">يساوي "التسويق والعروض الشعبية" بالكامل (عروض يومية ملهمة + حملات تسويقية وترويجية) = 7,000,000.00.</t>
  </si>
  <si>
    <t xml:space="preserve">التحقق الإجمالي</t>
  </si>
  <si>
    <t xml:space="preserve">مجموع البنود 1 إلى 10 = 36,746,424.00 = الإجمالي بدون ضريبة في الميزانية الأصلية بالضبط. + ضريبة 15% (5,511,963.60) = 42,258,387.60 ≈ الإجمالي الأصلي 42,258,387.</t>
  </si>
  <si>
    <t xml:space="preserve">ملاحظة ختامية: البنود 2، 5، 6، 8، 9 تتضمن افتراضات توزيع تقديرية (موضحة أعلاه) نظرًا لعدم وجود تطابق مباشر بالاسم بين بنود الميزانية الأصلية وبنود جدول التسعير — يُنصح بمراجعتها مع صاحب المشروع.</t>
  </si>
  <si>
    <t xml:space="preserve">ملاحظة تقنية: كل الأسعار في شيت "جدول التسعير" (ما عدا البند 1) أصبحت صيغ مرتبطة مباشرة بخلايا شيت "الميزانية الأصلية" — أي تعديل على أرقام الميزانية الأصلية أو على نسب التوزيع الصفراء (صف 18-20 في جدول التسعير) ينعكس تلقائيًا على الأسعار والإجمالي.</t>
  </si>
</sst>
</file>

<file path=xl/styles.xml><?xml version="1.0" encoding="utf-8"?>
<styleSheet xmlns="http://schemas.openxmlformats.org/spreadsheetml/2006/main">
  <numFmts count="3">
    <numFmt numFmtId="164" formatCode="General"/>
    <numFmt numFmtId="165" formatCode="#,##0.00"/>
    <numFmt numFmtId="166" formatCode="0%"/>
  </numFmts>
  <fonts count="1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sz val="11"/>
      <color rgb="FF0000FF"/>
      <name val="Arial"/>
      <family val="0"/>
      <charset val="1"/>
    </font>
    <font>
      <sz val="11"/>
      <color rgb="FF008000"/>
      <name val="Arial"/>
      <family val="0"/>
      <charset val="1"/>
    </font>
    <font>
      <b val="true"/>
      <sz val="11"/>
      <name val="Arial"/>
      <family val="0"/>
      <charset val="1"/>
    </font>
    <font>
      <b val="true"/>
      <sz val="11"/>
      <color rgb="FF008000"/>
      <name val="Arial"/>
      <family val="0"/>
      <charset val="1"/>
    </font>
    <font>
      <b val="true"/>
      <sz val="11"/>
      <color rgb="FF0000FF"/>
      <name val="Arial"/>
      <family val="0"/>
      <charset val="1"/>
    </font>
    <font>
      <i val="true"/>
      <sz val="9"/>
      <color rgb="FF808080"/>
      <name val="Arial"/>
      <family val="0"/>
      <charset val="1"/>
    </font>
    <font>
      <sz val="10"/>
      <name val="FreeSans"/>
      <family val="2"/>
    </font>
    <font>
      <sz val="10"/>
      <name val="Arial"/>
      <family val="2"/>
    </font>
    <font>
      <i val="true"/>
      <sz val="11"/>
      <color rgb="FFC00000"/>
      <name val="Arial"/>
      <family val="0"/>
      <charset val="1"/>
    </font>
    <font>
      <b val="true"/>
      <i val="true"/>
      <sz val="11"/>
      <color rgb="FF1F4E78"/>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D9E1F2"/>
        <bgColor rgb="FFCCFFFF"/>
      </patternFill>
    </fill>
    <fill>
      <patternFill patternType="solid">
        <fgColor rgb="FFFFE699"/>
        <bgColor rgb="FFFFCC99"/>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right" vertical="center"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right" vertical="center" textRotation="0" wrapText="false" indent="0" shrinkToFit="false"/>
      <protection locked="true" hidden="false"/>
    </xf>
    <xf numFmtId="165" fontId="8" fillId="4"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right"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10" fillId="5"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right"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8" fillId="3" borderId="1" xfId="0" applyFont="true" applyBorder="true" applyAlignment="true" applyProtection="false">
      <alignment horizontal="right" vertical="bottom" textRotation="0" wrapText="true" indent="0" shrinkToFit="false"/>
      <protection locked="true" hidden="false"/>
    </xf>
    <xf numFmtId="164" fontId="8" fillId="0" borderId="1" xfId="0" applyFont="true" applyBorder="true" applyAlignment="true" applyProtection="false">
      <alignment horizontal="right" vertical="bottom" textRotation="0" wrapText="tru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right" vertical="top" textRotation="0" wrapText="true" indent="0" shrinkToFit="false"/>
      <protection locked="true" hidden="false"/>
    </xf>
    <xf numFmtId="164" fontId="14" fillId="0" borderId="0" xfId="0" applyFont="true" applyBorder="true" applyAlignment="true" applyProtection="false">
      <alignment horizontal="right" vertical="bottom" textRotation="0" wrapText="true" indent="0" shrinkToFit="false"/>
      <protection locked="true" hidden="false"/>
    </xf>
    <xf numFmtId="164" fontId="15" fillId="0" borderId="0" xfId="0" applyFont="true" applyBorder="tru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60"/>
    <col collapsed="false" customWidth="true" hidden="false" outlineLevel="0" max="4" min="4" style="1" width="14"/>
    <col collapsed="false" customWidth="true" hidden="false" outlineLevel="0" max="5" min="5" style="1" width="8"/>
    <col collapsed="false" customWidth="true" hidden="false" outlineLevel="0" max="6" min="6" style="1" width="18"/>
  </cols>
  <sheetData>
    <row r="1" customFormat="false" ht="15" hidden="false" customHeight="true" outlineLevel="0" collapsed="false">
      <c r="A1" s="2" t="s">
        <v>0</v>
      </c>
      <c r="B1" s="2" t="s">
        <v>1</v>
      </c>
      <c r="C1" s="2" t="s">
        <v>2</v>
      </c>
      <c r="D1" s="2" t="s">
        <v>3</v>
      </c>
      <c r="E1" s="2" t="s">
        <v>4</v>
      </c>
      <c r="F1" s="2" t="s">
        <v>5</v>
      </c>
    </row>
    <row r="2" customFormat="false" ht="60" hidden="false" customHeight="true" outlineLevel="0" collapsed="false">
      <c r="A2" s="3" t="n">
        <v>1</v>
      </c>
      <c r="B2" s="4" t="s">
        <v>6</v>
      </c>
      <c r="C2" s="5" t="s">
        <v>7</v>
      </c>
      <c r="D2" s="3" t="s">
        <v>8</v>
      </c>
      <c r="E2" s="3" t="n">
        <v>1</v>
      </c>
      <c r="F2" s="6" t="n">
        <v>5985779</v>
      </c>
    </row>
    <row r="3" customFormat="false" ht="60" hidden="false" customHeight="true" outlineLevel="0" collapsed="false">
      <c r="A3" s="3" t="n">
        <v>2</v>
      </c>
      <c r="B3" s="4" t="s">
        <v>9</v>
      </c>
      <c r="C3" s="5" t="s">
        <v>10</v>
      </c>
      <c r="D3" s="3" t="s">
        <v>8</v>
      </c>
      <c r="E3" s="3" t="n">
        <v>1</v>
      </c>
      <c r="F3" s="7" t="n">
        <f aca="false">$F$17*$F$18</f>
        <v>1018184.3</v>
      </c>
    </row>
    <row r="4" customFormat="false" ht="60" hidden="false" customHeight="true" outlineLevel="0" collapsed="false">
      <c r="A4" s="3" t="n">
        <v>3</v>
      </c>
      <c r="B4" s="4" t="s">
        <v>11</v>
      </c>
      <c r="C4" s="5" t="s">
        <v>12</v>
      </c>
      <c r="D4" s="3" t="s">
        <v>8</v>
      </c>
      <c r="E4" s="3" t="n">
        <v>1</v>
      </c>
      <c r="F4" s="7" t="n">
        <f aca="false">'الميزانية الأصلية'!C21+'الميزانية الأصلية'!C22+'الميزانية الأصلية'!C23</f>
        <v>5283787</v>
      </c>
    </row>
    <row r="5" customFormat="false" ht="60" hidden="false" customHeight="true" outlineLevel="0" collapsed="false">
      <c r="A5" s="3" t="n">
        <v>4</v>
      </c>
      <c r="B5" s="4" t="s">
        <v>13</v>
      </c>
      <c r="C5" s="5" t="s">
        <v>14</v>
      </c>
      <c r="D5" s="3" t="s">
        <v>8</v>
      </c>
      <c r="E5" s="3" t="n">
        <v>1</v>
      </c>
      <c r="F5" s="7" t="n">
        <f aca="false">'الميزانية الأصلية'!C17</f>
        <v>580880</v>
      </c>
    </row>
    <row r="6" customFormat="false" ht="60" hidden="false" customHeight="true" outlineLevel="0" collapsed="false">
      <c r="A6" s="3" t="n">
        <v>5</v>
      </c>
      <c r="B6" s="4" t="s">
        <v>15</v>
      </c>
      <c r="C6" s="5" t="s">
        <v>16</v>
      </c>
      <c r="D6" s="3" t="s">
        <v>8</v>
      </c>
      <c r="E6" s="3" t="n">
        <v>1</v>
      </c>
      <c r="F6" s="7" t="n">
        <f aca="false">$F$17*$F$19</f>
        <v>1163639.2</v>
      </c>
    </row>
    <row r="7" customFormat="false" ht="60" hidden="false" customHeight="true" outlineLevel="0" collapsed="false">
      <c r="A7" s="3" t="n">
        <v>6</v>
      </c>
      <c r="B7" s="4" t="s">
        <v>17</v>
      </c>
      <c r="C7" s="5" t="s">
        <v>18</v>
      </c>
      <c r="D7" s="3" t="s">
        <v>8</v>
      </c>
      <c r="E7" s="3" t="n">
        <v>1</v>
      </c>
      <c r="F7" s="7" t="n">
        <f aca="false">$F$17*$F$20</f>
        <v>727274.5</v>
      </c>
    </row>
    <row r="8" customFormat="false" ht="60" hidden="false" customHeight="true" outlineLevel="0" collapsed="false">
      <c r="A8" s="3" t="n">
        <v>7</v>
      </c>
      <c r="B8" s="4" t="s">
        <v>19</v>
      </c>
      <c r="C8" s="5" t="s">
        <v>20</v>
      </c>
      <c r="D8" s="3" t="s">
        <v>21</v>
      </c>
      <c r="E8" s="3" t="n">
        <v>1050</v>
      </c>
      <c r="F8" s="7" t="n">
        <f aca="false">'الميزانية الأصلية'!D2+'الميزانية الأصلية'!D32</f>
        <v>13200000</v>
      </c>
    </row>
    <row r="9" customFormat="false" ht="60" hidden="false" customHeight="true" outlineLevel="0" collapsed="false">
      <c r="A9" s="3" t="n">
        <v>8</v>
      </c>
      <c r="B9" s="4" t="s">
        <v>22</v>
      </c>
      <c r="C9" s="5" t="s">
        <v>23</v>
      </c>
      <c r="D9" s="3" t="s">
        <v>8</v>
      </c>
      <c r="E9" s="3" t="n">
        <v>1</v>
      </c>
      <c r="F9" s="7" t="n">
        <f aca="false">'الميزانية الأصلية'!C16+'الميزانية الأصلية'!C20+'الميزانية الأصلية'!C26</f>
        <v>142036.5</v>
      </c>
    </row>
    <row r="10" customFormat="false" ht="60" hidden="false" customHeight="true" outlineLevel="0" collapsed="false">
      <c r="A10" s="3" t="n">
        <v>9</v>
      </c>
      <c r="B10" s="4" t="s">
        <v>24</v>
      </c>
      <c r="C10" s="5" t="s">
        <v>25</v>
      </c>
      <c r="D10" s="3" t="s">
        <v>8</v>
      </c>
      <c r="E10" s="3" t="n">
        <v>1</v>
      </c>
      <c r="F10" s="7" t="n">
        <f aca="false">'الميزانية الأصلية'!C18+'الميزانية الأصلية'!C24+'الميزانية الأصلية'!C30+'الميزانية الأصلية'!D33</f>
        <v>1644842.66</v>
      </c>
    </row>
    <row r="11" customFormat="false" ht="60" hidden="false" customHeight="true" outlineLevel="0" collapsed="false">
      <c r="A11" s="3" t="n">
        <v>10</v>
      </c>
      <c r="B11" s="4" t="s">
        <v>26</v>
      </c>
      <c r="C11" s="5" t="s">
        <v>27</v>
      </c>
      <c r="D11" s="3" t="s">
        <v>8</v>
      </c>
      <c r="E11" s="3" t="n">
        <v>1</v>
      </c>
      <c r="F11" s="7" t="n">
        <f aca="false">'الميزانية الأصلية'!D6</f>
        <v>7000000</v>
      </c>
    </row>
    <row r="12" customFormat="false" ht="15" hidden="false" customHeight="true" outlineLevel="0" collapsed="false">
      <c r="A12" s="8" t="s">
        <v>28</v>
      </c>
      <c r="B12" s="8"/>
      <c r="C12" s="8"/>
      <c r="D12" s="8"/>
      <c r="E12" s="8"/>
      <c r="F12" s="9" t="n">
        <f aca="false">SUM(F2:F11)</f>
        <v>36746423.16</v>
      </c>
    </row>
    <row r="13" customFormat="false" ht="15" hidden="false" customHeight="true" outlineLevel="0" collapsed="false">
      <c r="A13" s="8" t="s">
        <v>29</v>
      </c>
      <c r="B13" s="8"/>
      <c r="C13" s="8"/>
      <c r="D13" s="8"/>
      <c r="E13" s="8"/>
      <c r="F13" s="9" t="n">
        <f aca="false">F12*0.15</f>
        <v>5511963.474</v>
      </c>
    </row>
    <row r="14" customFormat="false" ht="15" hidden="false" customHeight="true" outlineLevel="0" collapsed="false">
      <c r="A14" s="10" t="s">
        <v>30</v>
      </c>
      <c r="B14" s="10"/>
      <c r="C14" s="10"/>
      <c r="D14" s="10"/>
      <c r="E14" s="10"/>
      <c r="F14" s="11" t="n">
        <f aca="false">F12+F13</f>
        <v>42258386.634</v>
      </c>
    </row>
    <row r="16" customFormat="false" ht="15" hidden="false" customHeight="true" outlineLevel="0" collapsed="false">
      <c r="A16" s="12" t="s">
        <v>31</v>
      </c>
      <c r="B16" s="12"/>
      <c r="C16" s="12"/>
      <c r="D16" s="12"/>
      <c r="E16" s="12"/>
      <c r="F16" s="12"/>
    </row>
    <row r="17" customFormat="false" ht="15" hidden="false" customHeight="true" outlineLevel="0" collapsed="false">
      <c r="A17" s="13" t="s">
        <v>32</v>
      </c>
      <c r="B17" s="13"/>
      <c r="C17" s="13"/>
      <c r="D17" s="13"/>
      <c r="E17" s="14"/>
      <c r="F17" s="15" t="n">
        <f aca="false">SUM('الميزانية الأصلية'!C9:C14)-F2+SUM('الميزانية الأصلية'!C27:C29)</f>
        <v>2909098</v>
      </c>
    </row>
    <row r="18" customFormat="false" ht="15" hidden="false" customHeight="true" outlineLevel="0" collapsed="false">
      <c r="A18" s="13" t="s">
        <v>33</v>
      </c>
      <c r="B18" s="13"/>
      <c r="C18" s="13"/>
      <c r="D18" s="13"/>
      <c r="E18" s="14"/>
      <c r="F18" s="16" t="n">
        <v>0.35</v>
      </c>
    </row>
    <row r="19" customFormat="false" ht="15" hidden="false" customHeight="true" outlineLevel="0" collapsed="false">
      <c r="A19" s="13" t="s">
        <v>34</v>
      </c>
      <c r="B19" s="13"/>
      <c r="C19" s="13"/>
      <c r="D19" s="13"/>
      <c r="E19" s="14"/>
      <c r="F19" s="16" t="n">
        <v>0.4</v>
      </c>
    </row>
    <row r="20" customFormat="false" ht="15" hidden="false" customHeight="true" outlineLevel="0" collapsed="false">
      <c r="A20" s="13" t="s">
        <v>35</v>
      </c>
      <c r="B20" s="13"/>
      <c r="C20" s="13"/>
      <c r="D20" s="13"/>
      <c r="E20" s="14"/>
      <c r="F20" s="16" t="n">
        <v>0.25</v>
      </c>
    </row>
    <row r="21" customFormat="false" ht="15" hidden="false" customHeight="true" outlineLevel="0" collapsed="false">
      <c r="A21" s="17" t="s">
        <v>36</v>
      </c>
      <c r="B21" s="17"/>
      <c r="C21" s="17"/>
      <c r="D21" s="17"/>
      <c r="E21" s="17"/>
      <c r="F21" s="17"/>
    </row>
  </sheetData>
  <mergeCells count="9">
    <mergeCell ref="A12:E12"/>
    <mergeCell ref="A13:E13"/>
    <mergeCell ref="A14:E14"/>
    <mergeCell ref="A16:F16"/>
    <mergeCell ref="A17:D17"/>
    <mergeCell ref="A18:D18"/>
    <mergeCell ref="A19:D19"/>
    <mergeCell ref="A20:D20"/>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4" min="3" style="1" width="18"/>
  </cols>
  <sheetData>
    <row r="1" customFormat="false" ht="15" hidden="false" customHeight="true" outlineLevel="0" collapsed="false">
      <c r="A1" s="18" t="s">
        <v>1</v>
      </c>
      <c r="B1" s="18" t="s">
        <v>37</v>
      </c>
      <c r="C1" s="18" t="s">
        <v>38</v>
      </c>
      <c r="D1" s="18" t="s">
        <v>39</v>
      </c>
    </row>
    <row r="2" customFormat="false" ht="15" hidden="false" customHeight="true" outlineLevel="0" collapsed="false">
      <c r="A2" s="19" t="s">
        <v>40</v>
      </c>
      <c r="B2" s="19" t="s">
        <v>41</v>
      </c>
      <c r="C2" s="19"/>
      <c r="D2" s="9" t="n">
        <v>10500000</v>
      </c>
    </row>
    <row r="3" customFormat="false" ht="15" hidden="false" customHeight="true" outlineLevel="0" collapsed="false">
      <c r="A3" s="20" t="s">
        <v>42</v>
      </c>
      <c r="B3" s="20"/>
      <c r="C3" s="20"/>
      <c r="D3" s="20"/>
    </row>
    <row r="4" customFormat="false" ht="15" hidden="false" customHeight="true" outlineLevel="0" collapsed="false">
      <c r="A4" s="4"/>
      <c r="B4" s="4" t="s">
        <v>43</v>
      </c>
      <c r="C4" s="21" t="n">
        <v>4500000</v>
      </c>
      <c r="D4" s="4"/>
    </row>
    <row r="5" customFormat="false" ht="15" hidden="false" customHeight="true" outlineLevel="0" collapsed="false">
      <c r="A5" s="4"/>
      <c r="B5" s="4" t="s">
        <v>44</v>
      </c>
      <c r="C5" s="21" t="n">
        <v>2500000</v>
      </c>
      <c r="D5" s="4"/>
    </row>
    <row r="6" customFormat="false" ht="15" hidden="false" customHeight="true" outlineLevel="0" collapsed="false">
      <c r="A6" s="19"/>
      <c r="B6" s="19" t="s">
        <v>39</v>
      </c>
      <c r="C6" s="19"/>
      <c r="D6" s="9" t="n">
        <f aca="false">SUM(C4:C5)</f>
        <v>7000000</v>
      </c>
    </row>
    <row r="7" customFormat="false" ht="15" hidden="false" customHeight="true" outlineLevel="0" collapsed="false">
      <c r="A7" s="20" t="s">
        <v>45</v>
      </c>
      <c r="B7" s="20"/>
      <c r="C7" s="20"/>
      <c r="D7" s="20"/>
    </row>
    <row r="8" customFormat="false" ht="15" hidden="false" customHeight="true" outlineLevel="0" collapsed="false">
      <c r="A8" s="20"/>
      <c r="B8" s="20" t="s">
        <v>46</v>
      </c>
      <c r="C8" s="20"/>
      <c r="D8" s="20"/>
    </row>
    <row r="9" customFormat="false" ht="15" hidden="false" customHeight="true" outlineLevel="0" collapsed="false">
      <c r="A9" s="4"/>
      <c r="B9" s="4" t="s">
        <v>47</v>
      </c>
      <c r="C9" s="21" t="n">
        <v>95859</v>
      </c>
      <c r="D9" s="4"/>
    </row>
    <row r="10" customFormat="false" ht="15" hidden="false" customHeight="true" outlineLevel="0" collapsed="false">
      <c r="A10" s="4"/>
      <c r="B10" s="4" t="s">
        <v>48</v>
      </c>
      <c r="C10" s="21" t="n">
        <v>2325475</v>
      </c>
      <c r="D10" s="4"/>
    </row>
    <row r="11" customFormat="false" ht="15" hidden="false" customHeight="true" outlineLevel="0" collapsed="false">
      <c r="A11" s="4"/>
      <c r="B11" s="4" t="s">
        <v>49</v>
      </c>
      <c r="C11" s="21" t="n">
        <v>1175430</v>
      </c>
      <c r="D11" s="4"/>
    </row>
    <row r="12" customFormat="false" ht="15" hidden="false" customHeight="true" outlineLevel="0" collapsed="false">
      <c r="A12" s="4"/>
      <c r="B12" s="4" t="s">
        <v>50</v>
      </c>
      <c r="C12" s="21" t="n">
        <v>64445</v>
      </c>
      <c r="D12" s="4"/>
    </row>
    <row r="13" customFormat="false" ht="15" hidden="false" customHeight="true" outlineLevel="0" collapsed="false">
      <c r="A13" s="4"/>
      <c r="B13" s="4" t="s">
        <v>51</v>
      </c>
      <c r="C13" s="21" t="n">
        <v>830016</v>
      </c>
      <c r="D13" s="4"/>
    </row>
    <row r="14" customFormat="false" ht="15" hidden="false" customHeight="true" outlineLevel="0" collapsed="false">
      <c r="A14" s="4"/>
      <c r="B14" s="4" t="s">
        <v>52</v>
      </c>
      <c r="C14" s="21" t="n">
        <v>3500000</v>
      </c>
      <c r="D14" s="4"/>
    </row>
    <row r="15" customFormat="false" ht="15" hidden="false" customHeight="true" outlineLevel="0" collapsed="false">
      <c r="A15" s="20"/>
      <c r="B15" s="20" t="s">
        <v>53</v>
      </c>
      <c r="C15" s="20"/>
      <c r="D15" s="20"/>
    </row>
    <row r="16" customFormat="false" ht="15" hidden="false" customHeight="true" outlineLevel="0" collapsed="false">
      <c r="A16" s="4"/>
      <c r="B16" s="4" t="s">
        <v>47</v>
      </c>
      <c r="C16" s="21" t="n">
        <v>24833</v>
      </c>
      <c r="D16" s="4"/>
    </row>
    <row r="17" customFormat="false" ht="15" hidden="false" customHeight="true" outlineLevel="0" collapsed="false">
      <c r="A17" s="4"/>
      <c r="B17" s="4" t="s">
        <v>48</v>
      </c>
      <c r="C17" s="21" t="n">
        <v>580880</v>
      </c>
      <c r="D17" s="4"/>
    </row>
    <row r="18" customFormat="false" ht="15" hidden="false" customHeight="true" outlineLevel="0" collapsed="false">
      <c r="A18" s="4"/>
      <c r="B18" s="4" t="s">
        <v>51</v>
      </c>
      <c r="C18" s="21" t="n">
        <v>522602.66</v>
      </c>
      <c r="D18" s="4"/>
    </row>
    <row r="19" customFormat="false" ht="15" hidden="false" customHeight="true" outlineLevel="0" collapsed="false">
      <c r="A19" s="20"/>
      <c r="B19" s="20" t="s">
        <v>54</v>
      </c>
      <c r="C19" s="20"/>
      <c r="D19" s="20"/>
    </row>
    <row r="20" customFormat="false" ht="15" hidden="false" customHeight="true" outlineLevel="0" collapsed="false">
      <c r="A20" s="4"/>
      <c r="B20" s="4" t="s">
        <v>47</v>
      </c>
      <c r="C20" s="21" t="n">
        <v>79460</v>
      </c>
      <c r="D20" s="4"/>
    </row>
    <row r="21" customFormat="false" ht="15" hidden="false" customHeight="true" outlineLevel="0" collapsed="false">
      <c r="A21" s="4"/>
      <c r="B21" s="4" t="s">
        <v>48</v>
      </c>
      <c r="C21" s="21" t="n">
        <v>3500000</v>
      </c>
      <c r="D21" s="4"/>
    </row>
    <row r="22" customFormat="false" ht="15" hidden="false" customHeight="true" outlineLevel="0" collapsed="false">
      <c r="A22" s="4"/>
      <c r="B22" s="4" t="s">
        <v>49</v>
      </c>
      <c r="C22" s="21" t="n">
        <v>1578972</v>
      </c>
      <c r="D22" s="4"/>
    </row>
    <row r="23" customFormat="false" ht="15" hidden="false" customHeight="true" outlineLevel="0" collapsed="false">
      <c r="A23" s="4"/>
      <c r="B23" s="4" t="s">
        <v>55</v>
      </c>
      <c r="C23" s="21" t="n">
        <v>204815</v>
      </c>
      <c r="D23" s="4"/>
    </row>
    <row r="24" customFormat="false" ht="15" hidden="false" customHeight="true" outlineLevel="0" collapsed="false">
      <c r="A24" s="4"/>
      <c r="B24" s="4" t="s">
        <v>51</v>
      </c>
      <c r="C24" s="21" t="n">
        <v>461120</v>
      </c>
      <c r="D24" s="4"/>
    </row>
    <row r="25" customFormat="false" ht="15" hidden="false" customHeight="true" outlineLevel="0" collapsed="false">
      <c r="A25" s="20"/>
      <c r="B25" s="20" t="s">
        <v>56</v>
      </c>
      <c r="C25" s="20"/>
      <c r="D25" s="20"/>
    </row>
    <row r="26" customFormat="false" ht="15" hidden="false" customHeight="true" outlineLevel="0" collapsed="false">
      <c r="A26" s="4"/>
      <c r="B26" s="4" t="s">
        <v>47</v>
      </c>
      <c r="C26" s="21" t="n">
        <v>37743.5</v>
      </c>
      <c r="D26" s="4"/>
    </row>
    <row r="27" customFormat="false" ht="15" hidden="false" customHeight="true" outlineLevel="0" collapsed="false">
      <c r="A27" s="4"/>
      <c r="B27" s="4" t="s">
        <v>48</v>
      </c>
      <c r="C27" s="21" t="n">
        <v>441825</v>
      </c>
      <c r="D27" s="4"/>
    </row>
    <row r="28" customFormat="false" ht="15" hidden="false" customHeight="true" outlineLevel="0" collapsed="false">
      <c r="A28" s="4"/>
      <c r="B28" s="4" t="s">
        <v>49</v>
      </c>
      <c r="C28" s="21" t="n">
        <v>193992</v>
      </c>
      <c r="D28" s="4"/>
    </row>
    <row r="29" customFormat="false" ht="15" hidden="false" customHeight="true" outlineLevel="0" collapsed="false">
      <c r="A29" s="4"/>
      <c r="B29" s="4" t="s">
        <v>50</v>
      </c>
      <c r="C29" s="21" t="n">
        <v>267835</v>
      </c>
      <c r="D29" s="4"/>
    </row>
    <row r="30" customFormat="false" ht="15" hidden="false" customHeight="true" outlineLevel="0" collapsed="false">
      <c r="A30" s="4"/>
      <c r="B30" s="4" t="s">
        <v>51</v>
      </c>
      <c r="C30" s="21" t="n">
        <v>461120</v>
      </c>
      <c r="D30" s="4"/>
    </row>
    <row r="31" customFormat="false" ht="15" hidden="false" customHeight="true" outlineLevel="0" collapsed="false">
      <c r="A31" s="19"/>
      <c r="B31" s="19" t="s">
        <v>57</v>
      </c>
      <c r="C31" s="19"/>
      <c r="D31" s="9" t="n">
        <f aca="false">SUM(C9:C30)</f>
        <v>16346423.16</v>
      </c>
    </row>
    <row r="32" customFormat="false" ht="15" hidden="false" customHeight="true" outlineLevel="0" collapsed="false">
      <c r="A32" s="19" t="s">
        <v>58</v>
      </c>
      <c r="B32" s="19" t="s">
        <v>59</v>
      </c>
      <c r="C32" s="19"/>
      <c r="D32" s="9" t="n">
        <v>2700000</v>
      </c>
    </row>
    <row r="33" customFormat="false" ht="26.25" hidden="false" customHeight="true" outlineLevel="0" collapsed="false">
      <c r="A33" s="19" t="s">
        <v>52</v>
      </c>
      <c r="B33" s="19" t="s">
        <v>60</v>
      </c>
      <c r="C33" s="19"/>
      <c r="D33" s="9" t="n">
        <v>200000</v>
      </c>
    </row>
    <row r="35" customFormat="false" ht="15" hidden="false" customHeight="true" outlineLevel="0" collapsed="false">
      <c r="A35" s="19" t="s">
        <v>28</v>
      </c>
      <c r="B35" s="19"/>
      <c r="C35" s="19"/>
      <c r="D35" s="9" t="n">
        <f aca="false">D2+D6+D31+D32+D33</f>
        <v>36746423.16</v>
      </c>
    </row>
    <row r="36" customFormat="false" ht="15" hidden="false" customHeight="true" outlineLevel="0" collapsed="false">
      <c r="A36" s="19" t="s">
        <v>61</v>
      </c>
      <c r="B36" s="19"/>
      <c r="C36" s="19"/>
      <c r="D36" s="9" t="n">
        <f aca="false">D35*0.15</f>
        <v>5511963.474</v>
      </c>
    </row>
    <row r="37" customFormat="false" ht="15" hidden="false" customHeight="true" outlineLevel="0" collapsed="false">
      <c r="A37" s="19" t="s">
        <v>62</v>
      </c>
      <c r="B37" s="19"/>
      <c r="C37" s="19"/>
      <c r="D37" s="9" t="n">
        <f aca="false">D35+D36</f>
        <v>42258386.634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8"/>
    <col collapsed="false" customWidth="true" hidden="false" outlineLevel="0" max="2" min="2" style="1" width="100"/>
  </cols>
  <sheetData>
    <row r="1" customFormat="false" ht="15" hidden="false" customHeight="true" outlineLevel="0" collapsed="false">
      <c r="A1" s="18" t="s">
        <v>63</v>
      </c>
      <c r="B1" s="18" t="s">
        <v>64</v>
      </c>
    </row>
    <row r="2" customFormat="false" ht="60" hidden="false" customHeight="true" outlineLevel="0" collapsed="false">
      <c r="A2" s="22" t="s">
        <v>65</v>
      </c>
      <c r="B2" s="5" t="s">
        <v>66</v>
      </c>
    </row>
    <row r="3" customFormat="false" ht="60" hidden="false" customHeight="true" outlineLevel="0" collapsed="false">
      <c r="A3" s="22" t="s">
        <v>67</v>
      </c>
      <c r="B3" s="5" t="s">
        <v>68</v>
      </c>
    </row>
    <row r="4" customFormat="false" ht="60" hidden="false" customHeight="true" outlineLevel="0" collapsed="false">
      <c r="A4" s="22" t="s">
        <v>69</v>
      </c>
      <c r="B4" s="5" t="s">
        <v>70</v>
      </c>
    </row>
    <row r="5" customFormat="false" ht="60" hidden="false" customHeight="true" outlineLevel="0" collapsed="false">
      <c r="A5" s="22" t="s">
        <v>71</v>
      </c>
      <c r="B5" s="5" t="s">
        <v>72</v>
      </c>
    </row>
    <row r="6" customFormat="false" ht="60" hidden="false" customHeight="true" outlineLevel="0" collapsed="false">
      <c r="A6" s="22" t="s">
        <v>73</v>
      </c>
      <c r="B6" s="5" t="s">
        <v>74</v>
      </c>
    </row>
    <row r="7" customFormat="false" ht="60" hidden="false" customHeight="true" outlineLevel="0" collapsed="false">
      <c r="A7" s="22" t="s">
        <v>75</v>
      </c>
      <c r="B7" s="5" t="s">
        <v>76</v>
      </c>
    </row>
    <row r="8" customFormat="false" ht="60" hidden="false" customHeight="true" outlineLevel="0" collapsed="false">
      <c r="A8" s="22" t="s">
        <v>77</v>
      </c>
      <c r="B8" s="5" t="s">
        <v>78</v>
      </c>
    </row>
    <row r="9" customFormat="false" ht="60" hidden="false" customHeight="true" outlineLevel="0" collapsed="false">
      <c r="A9" s="22" t="s">
        <v>79</v>
      </c>
      <c r="B9" s="5" t="s">
        <v>80</v>
      </c>
    </row>
    <row r="10" customFormat="false" ht="60" hidden="false" customHeight="true" outlineLevel="0" collapsed="false">
      <c r="A10" s="22" t="s">
        <v>81</v>
      </c>
      <c r="B10" s="5" t="s">
        <v>82</v>
      </c>
    </row>
    <row r="12" customFormat="false" ht="15" hidden="false" customHeight="true" outlineLevel="0" collapsed="false">
      <c r="A12" s="23" t="s">
        <v>83</v>
      </c>
      <c r="B12" s="23"/>
    </row>
    <row r="14" customFormat="false" ht="26.85" hidden="false" customHeight="true" outlineLevel="0" collapsed="false">
      <c r="A14" s="24" t="s">
        <v>84</v>
      </c>
      <c r="B14" s="24"/>
    </row>
  </sheetData>
  <mergeCells count="2">
    <mergeCell ref="A12:B12"/>
    <mergeCell ref="A14:B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2026-09-01T11:06:08Z</dcterms:created>
  <dc:creator>openpyxl</dc:creator>
  <dc:description/>
  <dc:language>en-US</dc:language>
  <cp:lastModifiedBy/>
  <dcterms:modified xsi:type="dcterms:W3CDTF">2026-09-01T11:06:37Z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