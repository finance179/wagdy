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awaruq Loan" sheetId="2" state="visible" r:id="rId4"/>
    <sheet name="Discounted Bills 1" sheetId="3" state="visible" r:id="rId5"/>
    <sheet name="Discounted Bills 2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<sst xmlns="http://schemas.openxmlformats.org/spreadsheetml/2006/main" count="65" uniqueCount="30">
  <si>
    <t xml:space="preserve">Loan Schedules - Summary</t>
  </si>
  <si>
    <t xml:space="preserve">Facility</t>
  </si>
  <si>
    <t xml:space="preserve">Value date</t>
  </si>
  <si>
    <t xml:space="preserve">Principal amount</t>
  </si>
  <si>
    <t xml:space="preserve">No. of
installments</t>
  </si>
  <si>
    <t xml:space="preserve">Interest rate
(annual)</t>
  </si>
  <si>
    <t xml:space="preserve">Interest / commission
received in advance</t>
  </si>
  <si>
    <t xml:space="preserve">Total</t>
  </si>
  <si>
    <t xml:space="preserve">Source: 4940_001.pdf (scanned bank amortization schedules). Each facility's full 60-month schedule is on its own tab. Blue cells are source inputs; all other figures are formulas.</t>
  </si>
  <si>
    <t xml:space="preserve">Tawaruq Loan - Amortization / Discount Schedule</t>
  </si>
  <si>
    <t xml:space="preserve">2023/07/20</t>
  </si>
  <si>
    <t xml:space="preserve">Number of installments</t>
  </si>
  <si>
    <t xml:space="preserve">Interest received in advance</t>
  </si>
  <si>
    <t xml:space="preserve">Interest rate (annual)</t>
  </si>
  <si>
    <t xml:space="preserve">Value date (period start)</t>
  </si>
  <si>
    <t xml:space="preserve">First installment date</t>
  </si>
  <si>
    <t xml:space="preserve">No.</t>
  </si>
  <si>
    <t xml:space="preserve">Date</t>
  </si>
  <si>
    <t xml:space="preserve">No. of days</t>
  </si>
  <si>
    <t xml:space="preserve">Commission on
beginning balance</t>
  </si>
  <si>
    <t xml:space="preserve">Beginning
balance</t>
  </si>
  <si>
    <t xml:space="preserve">Principal
installment</t>
  </si>
  <si>
    <t xml:space="preserve">Ending
balance</t>
  </si>
  <si>
    <t xml:space="preserve">Total:</t>
  </si>
  <si>
    <t xml:space="preserve">Note: Commission = ROUND(Beginning balance x Annual rate x Days/360, 2). Principal installment is flat (Principal/No. of installments), with the final installment absorbing any rounding difference so the ending balance reaches exactly zero. Source: scanned bank amortization schedule (4940_001.pdf).</t>
  </si>
  <si>
    <t xml:space="preserve">Discounted Bills (Loan 1) - Amortization Schedule</t>
  </si>
  <si>
    <t xml:space="preserve">8/9/2022</t>
  </si>
  <si>
    <t xml:space="preserve">Net amount credited to customer</t>
  </si>
  <si>
    <t xml:space="preserve">Discounted Bills (Loan 2) - Amortization Schedule</t>
  </si>
  <si>
    <t xml:space="preserve">9/14/2022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</si>
</sst>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(#,##0.00\);\-"/>
    <numFmt numFmtId="166" formatCode="General"/>
    <numFmt numFmtId="167" formatCode="0.00%"/>
    <numFmt numFmtId="168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tr">
        <f aca="false">'Tawaruq Loan'!A1</f>
        <v>Tawaruq Loan - Amortization / Discount Schedule</v>
      </c>
      <c r="B4" s="3" t="str">
        <f aca="false">'Tawaruq Loan'!B3</f>
        <v>2023/07/20</v>
      </c>
      <c r="C4" s="4" t="n">
        <f aca="false">'Tawaruq Loan'!E3</f>
        <v>3000000</v>
      </c>
      <c r="D4" s="5" t="n">
        <f aca="false">'Tawaruq Loan'!B4</f>
        <v>60</v>
      </c>
      <c r="E4" s="6" t="n">
        <f aca="false">'Tawaruq Loan'!B5</f>
        <v>0.0985</v>
      </c>
      <c r="F4" s="4" t="n">
        <f aca="false">'Tawaruq Loan'!E4</f>
        <v>-762868.84</v>
      </c>
    </row>
    <row r="5" customFormat="false" ht="15" hidden="false" customHeight="false" outlineLevel="0" collapsed="false">
      <c r="A5" s="3" t="str">
        <f aca="false">'Discounted Bills 1'!A1</f>
        <v>Discounted Bills (Loan 1) - Amortization Schedule</v>
      </c>
      <c r="B5" s="3" t="str">
        <f aca="false">'Discounted Bills 1'!B3</f>
        <v>8/9/2022</v>
      </c>
      <c r="C5" s="4" t="n">
        <f aca="false">'Discounted Bills 1'!E3</f>
        <v>3750000</v>
      </c>
      <c r="D5" s="5" t="n">
        <f aca="false">'Discounted Bills 1'!B4</f>
        <v>60</v>
      </c>
      <c r="E5" s="6" t="n">
        <f aca="false">'Discounted Bills 1'!B5</f>
        <v>0.0984</v>
      </c>
      <c r="F5" s="4" t="n">
        <f aca="false">'Discounted Bills 1'!E4</f>
        <v>-950721.65</v>
      </c>
    </row>
    <row r="6" customFormat="false" ht="15" hidden="false" customHeight="false" outlineLevel="0" collapsed="false">
      <c r="A6" s="3" t="str">
        <f aca="false">'Discounted Bills 2'!A1</f>
        <v>Discounted Bills (Loan 2) - Amortization Schedule</v>
      </c>
      <c r="B6" s="3" t="str">
        <f aca="false">'Discounted Bills 2'!B3</f>
        <v>9/14/2022</v>
      </c>
      <c r="C6" s="4" t="n">
        <f aca="false">'Discounted Bills 2'!E3</f>
        <v>2500000</v>
      </c>
      <c r="D6" s="5" t="n">
        <f aca="false">'Discounted Bills 2'!B4</f>
        <v>60</v>
      </c>
      <c r="E6" s="6" t="n">
        <f aca="false">'Discounted Bills 2'!B5</f>
        <v>0.0984</v>
      </c>
      <c r="F6" s="4" t="n">
        <f aca="false">'Discounted Bills 2'!E4</f>
        <v>-634110.51</v>
      </c>
    </row>
    <row r="7" customFormat="false" ht="15" hidden="false" customHeight="false" outlineLevel="0" collapsed="false">
      <c r="A7" s="7" t="s">
        <v>7</v>
      </c>
      <c r="B7" s="8"/>
      <c r="C7" s="9" t="n">
        <f aca="false">SUM(C4:C6)</f>
        <v>9250000</v>
      </c>
      <c r="D7" s="8"/>
      <c r="E7" s="8"/>
      <c r="F7" s="9" t="n">
        <f aca="false">SUM(F4:F6)</f>
        <v>-2347701</v>
      </c>
    </row>
    <row r="9" customFormat="false" ht="15" hidden="false" customHeight="true" outlineLevel="0" collapsed="false">
      <c r="A9" s="10" t="s">
        <v>8</v>
      </c>
      <c r="B9" s="10"/>
      <c r="C9" s="10"/>
      <c r="D9" s="10"/>
      <c r="E9" s="10"/>
      <c r="F9" s="10"/>
    </row>
  </sheetData>
  <mergeCells count="2">
    <mergeCell ref="A1:F1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1" t="s">
        <v>2</v>
      </c>
      <c r="B3" s="12" t="s">
        <v>10</v>
      </c>
      <c r="D3" s="11" t="s">
        <v>3</v>
      </c>
      <c r="E3" s="13" t="n">
        <v>3000000</v>
      </c>
    </row>
    <row r="4" customFormat="false" ht="15" hidden="false" customHeight="false" outlineLevel="0" collapsed="false">
      <c r="A4" s="11" t="s">
        <v>11</v>
      </c>
      <c r="B4" s="12" t="n">
        <v>60</v>
      </c>
      <c r="D4" s="11" t="s">
        <v>12</v>
      </c>
      <c r="E4" s="14" t="n">
        <f aca="false">-D71</f>
        <v>-762868.84</v>
      </c>
    </row>
    <row r="5" customFormat="false" ht="15" hidden="false" customHeight="false" outlineLevel="0" collapsed="false">
      <c r="A5" s="11" t="s">
        <v>13</v>
      </c>
      <c r="B5" s="15" t="n">
        <v>0.0985</v>
      </c>
    </row>
    <row r="7" customFormat="false" ht="15" hidden="false" customHeight="false" outlineLevel="0" collapsed="false">
      <c r="A7" s="11" t="s">
        <v>14</v>
      </c>
      <c r="B7" s="16" t="n">
        <v>45127</v>
      </c>
    </row>
    <row r="8" customFormat="false" ht="15" hidden="false" customHeight="false" outlineLevel="0" collapsed="false">
      <c r="A8" s="11" t="s">
        <v>15</v>
      </c>
      <c r="B8" s="16" t="n">
        <v>45158</v>
      </c>
    </row>
    <row r="10" customFormat="false" ht="26.85" hidden="false" customHeight="false" outlineLevel="0" collapsed="false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</row>
    <row r="11" customFormat="false" ht="15" hidden="false" customHeight="false" outlineLevel="0" collapsed="false">
      <c r="A11" s="5" t="n">
        <v>1</v>
      </c>
      <c r="B11" s="17" t="n">
        <f aca="false">'Tawaruq Loan'!$B$8</f>
        <v>45158</v>
      </c>
      <c r="C11" s="5" t="n">
        <f aca="false">B11-'Tawaruq Loan'!$B$7</f>
        <v>31</v>
      </c>
      <c r="D11" s="4" t="n">
        <f aca="false">ROUND(E11*'Tawaruq Loan'!$B$5*C11/360,2)</f>
        <v>25445.83</v>
      </c>
      <c r="E11" s="4" t="n">
        <f aca="false">'Tawaruq Loan'!$E$3</f>
        <v>3000000</v>
      </c>
      <c r="F11" s="4" t="n">
        <f aca="false">ROUND('Tawaruq Loan'!$E$3/'Tawaruq Loan'!$B$4,2)</f>
        <v>50000</v>
      </c>
      <c r="G11" s="4" t="n">
        <f aca="false">E11-F11</f>
        <v>2950000</v>
      </c>
    </row>
    <row r="12" customFormat="false" ht="15" hidden="false" customHeight="false" outlineLevel="0" collapsed="false">
      <c r="A12" s="5" t="n">
        <v>2</v>
      </c>
      <c r="B12" s="17" t="n">
        <f aca="false">EDATE(B11,1)</f>
        <v>45189</v>
      </c>
      <c r="C12" s="5" t="n">
        <f aca="false">B12-B11</f>
        <v>31</v>
      </c>
      <c r="D12" s="4" t="n">
        <f aca="false">ROUND(E12*'Tawaruq Loan'!$B$5*C12/360,2)</f>
        <v>25021.74</v>
      </c>
      <c r="E12" s="4" t="n">
        <f aca="false">G11</f>
        <v>2950000</v>
      </c>
      <c r="F12" s="4" t="n">
        <f aca="false">ROUND('Tawaruq Loan'!$E$3/'Tawaruq Loan'!$B$4,2)</f>
        <v>50000</v>
      </c>
      <c r="G12" s="4" t="n">
        <f aca="false">E12-F12</f>
        <v>2900000</v>
      </c>
    </row>
    <row r="13" customFormat="false" ht="15" hidden="false" customHeight="false" outlineLevel="0" collapsed="false">
      <c r="A13" s="5" t="n">
        <v>3</v>
      </c>
      <c r="B13" s="17" t="n">
        <f aca="false">EDATE(B12,1)</f>
        <v>45219</v>
      </c>
      <c r="C13" s="5" t="n">
        <f aca="false">B13-B12</f>
        <v>30</v>
      </c>
      <c r="D13" s="4" t="n">
        <f aca="false">ROUND(E13*'Tawaruq Loan'!$B$5*C13/360,2)</f>
        <v>23804.17</v>
      </c>
      <c r="E13" s="4" t="n">
        <f aca="false">G12</f>
        <v>2900000</v>
      </c>
      <c r="F13" s="4" t="n">
        <f aca="false">ROUND('Tawaruq Loan'!$E$3/'Tawaruq Loan'!$B$4,2)</f>
        <v>50000</v>
      </c>
      <c r="G13" s="4" t="n">
        <f aca="false">E13-F13</f>
        <v>2850000</v>
      </c>
    </row>
    <row r="14" customFormat="false" ht="15" hidden="false" customHeight="false" outlineLevel="0" collapsed="false">
      <c r="A14" s="5" t="n">
        <v>4</v>
      </c>
      <c r="B14" s="17" t="n">
        <f aca="false">EDATE(B13,1)</f>
        <v>45250</v>
      </c>
      <c r="C14" s="5" t="n">
        <f aca="false">B14-B13</f>
        <v>31</v>
      </c>
      <c r="D14" s="4" t="n">
        <f aca="false">ROUND(E14*'Tawaruq Loan'!$B$5*C14/360,2)</f>
        <v>24173.54</v>
      </c>
      <c r="E14" s="4" t="n">
        <f aca="false">G13</f>
        <v>2850000</v>
      </c>
      <c r="F14" s="4" t="n">
        <f aca="false">ROUND('Tawaruq Loan'!$E$3/'Tawaruq Loan'!$B$4,2)</f>
        <v>50000</v>
      </c>
      <c r="G14" s="4" t="n">
        <f aca="false">E14-F14</f>
        <v>2800000</v>
      </c>
    </row>
    <row r="15" customFormat="false" ht="15" hidden="false" customHeight="false" outlineLevel="0" collapsed="false">
      <c r="A15" s="5" t="n">
        <v>5</v>
      </c>
      <c r="B15" s="17" t="n">
        <f aca="false">EDATE(B14,1)</f>
        <v>45280</v>
      </c>
      <c r="C15" s="5" t="n">
        <f aca="false">B15-B14</f>
        <v>30</v>
      </c>
      <c r="D15" s="4" t="n">
        <f aca="false">ROUND(E15*'Tawaruq Loan'!$B$5*C15/360,2)</f>
        <v>22983.33</v>
      </c>
      <c r="E15" s="4" t="n">
        <f aca="false">G14</f>
        <v>2800000</v>
      </c>
      <c r="F15" s="4" t="n">
        <f aca="false">ROUND('Tawaruq Loan'!$E$3/'Tawaruq Loan'!$B$4,2)</f>
        <v>50000</v>
      </c>
      <c r="G15" s="4" t="n">
        <f aca="false">E15-F15</f>
        <v>2750000</v>
      </c>
    </row>
    <row r="16" customFormat="false" ht="15" hidden="false" customHeight="false" outlineLevel="0" collapsed="false">
      <c r="A16" s="5" t="n">
        <v>6</v>
      </c>
      <c r="B16" s="17" t="n">
        <f aca="false">EDATE(B15,1)</f>
        <v>45311</v>
      </c>
      <c r="C16" s="5" t="n">
        <f aca="false">B16-B15</f>
        <v>31</v>
      </c>
      <c r="D16" s="4" t="n">
        <f aca="false">ROUND(E16*'Tawaruq Loan'!$B$5*C16/360,2)</f>
        <v>23325.35</v>
      </c>
      <c r="E16" s="4" t="n">
        <f aca="false">G15</f>
        <v>2750000</v>
      </c>
      <c r="F16" s="4" t="n">
        <f aca="false">ROUND('Tawaruq Loan'!$E$3/'Tawaruq Loan'!$B$4,2)</f>
        <v>50000</v>
      </c>
      <c r="G16" s="4" t="n">
        <f aca="false">E16-F16</f>
        <v>2700000</v>
      </c>
    </row>
    <row r="17" customFormat="false" ht="15" hidden="false" customHeight="false" outlineLevel="0" collapsed="false">
      <c r="A17" s="5" t="n">
        <v>7</v>
      </c>
      <c r="B17" s="17" t="n">
        <f aca="false">EDATE(B16,1)</f>
        <v>45342</v>
      </c>
      <c r="C17" s="5" t="n">
        <f aca="false">B17-B16</f>
        <v>31</v>
      </c>
      <c r="D17" s="4" t="n">
        <f aca="false">ROUND(E17*'Tawaruq Loan'!$B$5*C17/360,2)</f>
        <v>22901.25</v>
      </c>
      <c r="E17" s="4" t="n">
        <f aca="false">G16</f>
        <v>2700000</v>
      </c>
      <c r="F17" s="4" t="n">
        <f aca="false">ROUND('Tawaruq Loan'!$E$3/'Tawaruq Loan'!$B$4,2)</f>
        <v>50000</v>
      </c>
      <c r="G17" s="4" t="n">
        <f aca="false">E17-F17</f>
        <v>2650000</v>
      </c>
    </row>
    <row r="18" customFormat="false" ht="15" hidden="false" customHeight="false" outlineLevel="0" collapsed="false">
      <c r="A18" s="5" t="n">
        <v>8</v>
      </c>
      <c r="B18" s="17" t="n">
        <f aca="false">EDATE(B17,1)</f>
        <v>45371</v>
      </c>
      <c r="C18" s="5" t="n">
        <f aca="false">B18-B17</f>
        <v>29</v>
      </c>
      <c r="D18" s="4" t="n">
        <f aca="false">ROUND(E18*'Tawaruq Loan'!$B$5*C18/360,2)</f>
        <v>21027.01</v>
      </c>
      <c r="E18" s="4" t="n">
        <f aca="false">G17</f>
        <v>2650000</v>
      </c>
      <c r="F18" s="4" t="n">
        <f aca="false">ROUND('Tawaruq Loan'!$E$3/'Tawaruq Loan'!$B$4,2)</f>
        <v>50000</v>
      </c>
      <c r="G18" s="4" t="n">
        <f aca="false">E18-F18</f>
        <v>2600000</v>
      </c>
    </row>
    <row r="19" customFormat="false" ht="15" hidden="false" customHeight="false" outlineLevel="0" collapsed="false">
      <c r="A19" s="5" t="n">
        <v>9</v>
      </c>
      <c r="B19" s="17" t="n">
        <f aca="false">EDATE(B18,1)</f>
        <v>45402</v>
      </c>
      <c r="C19" s="5" t="n">
        <f aca="false">B19-B18</f>
        <v>31</v>
      </c>
      <c r="D19" s="4" t="n">
        <f aca="false">ROUND(E19*'Tawaruq Loan'!$B$5*C19/360,2)</f>
        <v>22053.06</v>
      </c>
      <c r="E19" s="4" t="n">
        <f aca="false">G18</f>
        <v>2600000</v>
      </c>
      <c r="F19" s="4" t="n">
        <f aca="false">ROUND('Tawaruq Loan'!$E$3/'Tawaruq Loan'!$B$4,2)</f>
        <v>50000</v>
      </c>
      <c r="G19" s="4" t="n">
        <f aca="false">E19-F19</f>
        <v>2550000</v>
      </c>
    </row>
    <row r="20" customFormat="false" ht="15" hidden="false" customHeight="false" outlineLevel="0" collapsed="false">
      <c r="A20" s="5" t="n">
        <v>10</v>
      </c>
      <c r="B20" s="17" t="n">
        <f aca="false">EDATE(B19,1)</f>
        <v>45432</v>
      </c>
      <c r="C20" s="5" t="n">
        <f aca="false">B20-B19</f>
        <v>30</v>
      </c>
      <c r="D20" s="4" t="n">
        <f aca="false">ROUND(E20*'Tawaruq Loan'!$B$5*C20/360,2)</f>
        <v>20931.25</v>
      </c>
      <c r="E20" s="4" t="n">
        <f aca="false">G19</f>
        <v>2550000</v>
      </c>
      <c r="F20" s="4" t="n">
        <f aca="false">ROUND('Tawaruq Loan'!$E$3/'Tawaruq Loan'!$B$4,2)</f>
        <v>50000</v>
      </c>
      <c r="G20" s="4" t="n">
        <f aca="false">E20-F20</f>
        <v>2500000</v>
      </c>
    </row>
    <row r="21" customFormat="false" ht="15" hidden="false" customHeight="false" outlineLevel="0" collapsed="false">
      <c r="A21" s="5" t="n">
        <v>11</v>
      </c>
      <c r="B21" s="17" t="n">
        <f aca="false">EDATE(B20,1)</f>
        <v>45463</v>
      </c>
      <c r="C21" s="5" t="n">
        <f aca="false">B21-B20</f>
        <v>31</v>
      </c>
      <c r="D21" s="4" t="n">
        <f aca="false">ROUND(E21*'Tawaruq Loan'!$B$5*C21/360,2)</f>
        <v>21204.86</v>
      </c>
      <c r="E21" s="4" t="n">
        <f aca="false">G20</f>
        <v>2500000</v>
      </c>
      <c r="F21" s="4" t="n">
        <f aca="false">ROUND('Tawaruq Loan'!$E$3/'Tawaruq Loan'!$B$4,2)</f>
        <v>50000</v>
      </c>
      <c r="G21" s="4" t="n">
        <f aca="false">E21-F21</f>
        <v>2450000</v>
      </c>
    </row>
    <row r="22" customFormat="false" ht="15" hidden="false" customHeight="false" outlineLevel="0" collapsed="false">
      <c r="A22" s="5" t="n">
        <v>12</v>
      </c>
      <c r="B22" s="17" t="n">
        <f aca="false">EDATE(B21,1)</f>
        <v>45493</v>
      </c>
      <c r="C22" s="5" t="n">
        <f aca="false">B22-B21</f>
        <v>30</v>
      </c>
      <c r="D22" s="4" t="n">
        <f aca="false">ROUND(E22*'Tawaruq Loan'!$B$5*C22/360,2)</f>
        <v>20110.42</v>
      </c>
      <c r="E22" s="4" t="n">
        <f aca="false">G21</f>
        <v>2450000</v>
      </c>
      <c r="F22" s="4" t="n">
        <f aca="false">ROUND('Tawaruq Loan'!$E$3/'Tawaruq Loan'!$B$4,2)</f>
        <v>50000</v>
      </c>
      <c r="G22" s="4" t="n">
        <f aca="false">E22-F22</f>
        <v>2400000</v>
      </c>
    </row>
    <row r="23" customFormat="false" ht="15" hidden="false" customHeight="false" outlineLevel="0" collapsed="false">
      <c r="A23" s="5" t="n">
        <v>13</v>
      </c>
      <c r="B23" s="17" t="n">
        <f aca="false">EDATE(B22,1)</f>
        <v>45524</v>
      </c>
      <c r="C23" s="5" t="n">
        <f aca="false">B23-B22</f>
        <v>31</v>
      </c>
      <c r="D23" s="4" t="n">
        <f aca="false">ROUND(E23*'Tawaruq Loan'!$B$5*C23/360,2)</f>
        <v>20356.67</v>
      </c>
      <c r="E23" s="4" t="n">
        <f aca="false">G22</f>
        <v>2400000</v>
      </c>
      <c r="F23" s="4" t="n">
        <f aca="false">ROUND('Tawaruq Loan'!$E$3/'Tawaruq Loan'!$B$4,2)</f>
        <v>50000</v>
      </c>
      <c r="G23" s="4" t="n">
        <f aca="false">E23-F23</f>
        <v>2350000</v>
      </c>
    </row>
    <row r="24" customFormat="false" ht="15" hidden="false" customHeight="false" outlineLevel="0" collapsed="false">
      <c r="A24" s="5" t="n">
        <v>14</v>
      </c>
      <c r="B24" s="17" t="n">
        <f aca="false">EDATE(B23,1)</f>
        <v>45555</v>
      </c>
      <c r="C24" s="5" t="n">
        <f aca="false">B24-B23</f>
        <v>31</v>
      </c>
      <c r="D24" s="4" t="n">
        <f aca="false">ROUND(E24*'Tawaruq Loan'!$B$5*C24/360,2)</f>
        <v>19932.57</v>
      </c>
      <c r="E24" s="4" t="n">
        <f aca="false">G23</f>
        <v>2350000</v>
      </c>
      <c r="F24" s="4" t="n">
        <f aca="false">ROUND('Tawaruq Loan'!$E$3/'Tawaruq Loan'!$B$4,2)</f>
        <v>50000</v>
      </c>
      <c r="G24" s="4" t="n">
        <f aca="false">E24-F24</f>
        <v>2300000</v>
      </c>
    </row>
    <row r="25" customFormat="false" ht="15" hidden="false" customHeight="false" outlineLevel="0" collapsed="false">
      <c r="A25" s="5" t="n">
        <v>15</v>
      </c>
      <c r="B25" s="17" t="n">
        <f aca="false">EDATE(B24,1)</f>
        <v>45585</v>
      </c>
      <c r="C25" s="5" t="n">
        <f aca="false">B25-B24</f>
        <v>30</v>
      </c>
      <c r="D25" s="4" t="n">
        <f aca="false">ROUND(E25*'Tawaruq Loan'!$B$5*C25/360,2)</f>
        <v>18879.17</v>
      </c>
      <c r="E25" s="4" t="n">
        <f aca="false">G24</f>
        <v>2300000</v>
      </c>
      <c r="F25" s="4" t="n">
        <f aca="false">ROUND('Tawaruq Loan'!$E$3/'Tawaruq Loan'!$B$4,2)</f>
        <v>50000</v>
      </c>
      <c r="G25" s="4" t="n">
        <f aca="false">E25-F25</f>
        <v>2250000</v>
      </c>
    </row>
    <row r="26" customFormat="false" ht="15" hidden="false" customHeight="false" outlineLevel="0" collapsed="false">
      <c r="A26" s="5" t="n">
        <v>16</v>
      </c>
      <c r="B26" s="17" t="n">
        <f aca="false">EDATE(B25,1)</f>
        <v>45616</v>
      </c>
      <c r="C26" s="5" t="n">
        <f aca="false">B26-B25</f>
        <v>31</v>
      </c>
      <c r="D26" s="4" t="n">
        <f aca="false">ROUND(E26*'Tawaruq Loan'!$B$5*C26/360,2)</f>
        <v>19084.38</v>
      </c>
      <c r="E26" s="4" t="n">
        <f aca="false">G25</f>
        <v>2250000</v>
      </c>
      <c r="F26" s="4" t="n">
        <f aca="false">ROUND('Tawaruq Loan'!$E$3/'Tawaruq Loan'!$B$4,2)</f>
        <v>50000</v>
      </c>
      <c r="G26" s="4" t="n">
        <f aca="false">E26-F26</f>
        <v>2200000</v>
      </c>
    </row>
    <row r="27" customFormat="false" ht="15" hidden="false" customHeight="false" outlineLevel="0" collapsed="false">
      <c r="A27" s="5" t="n">
        <v>17</v>
      </c>
      <c r="B27" s="17" t="n">
        <f aca="false">EDATE(B26,1)</f>
        <v>45646</v>
      </c>
      <c r="C27" s="5" t="n">
        <f aca="false">B27-B26</f>
        <v>30</v>
      </c>
      <c r="D27" s="4" t="n">
        <f aca="false">ROUND(E27*'Tawaruq Loan'!$B$5*C27/360,2)</f>
        <v>18058.33</v>
      </c>
      <c r="E27" s="4" t="n">
        <f aca="false">G26</f>
        <v>2200000</v>
      </c>
      <c r="F27" s="4" t="n">
        <f aca="false">ROUND('Tawaruq Loan'!$E$3/'Tawaruq Loan'!$B$4,2)</f>
        <v>50000</v>
      </c>
      <c r="G27" s="4" t="n">
        <f aca="false">E27-F27</f>
        <v>2150000</v>
      </c>
    </row>
    <row r="28" customFormat="false" ht="15" hidden="false" customHeight="false" outlineLevel="0" collapsed="false">
      <c r="A28" s="5" t="n">
        <v>18</v>
      </c>
      <c r="B28" s="17" t="n">
        <f aca="false">EDATE(B27,1)</f>
        <v>45677</v>
      </c>
      <c r="C28" s="5" t="n">
        <f aca="false">B28-B27</f>
        <v>31</v>
      </c>
      <c r="D28" s="4" t="n">
        <f aca="false">ROUND(E28*'Tawaruq Loan'!$B$5*C28/360,2)</f>
        <v>18236.18</v>
      </c>
      <c r="E28" s="4" t="n">
        <f aca="false">G27</f>
        <v>2150000</v>
      </c>
      <c r="F28" s="4" t="n">
        <f aca="false">ROUND('Tawaruq Loan'!$E$3/'Tawaruq Loan'!$B$4,2)</f>
        <v>50000</v>
      </c>
      <c r="G28" s="4" t="n">
        <f aca="false">E28-F28</f>
        <v>2100000</v>
      </c>
    </row>
    <row r="29" customFormat="false" ht="15" hidden="false" customHeight="false" outlineLevel="0" collapsed="false">
      <c r="A29" s="5" t="n">
        <v>19</v>
      </c>
      <c r="B29" s="17" t="n">
        <f aca="false">EDATE(B28,1)</f>
        <v>45708</v>
      </c>
      <c r="C29" s="5" t="n">
        <f aca="false">B29-B28</f>
        <v>31</v>
      </c>
      <c r="D29" s="4" t="n">
        <f aca="false">ROUND(E29*'Tawaruq Loan'!$B$5*C29/360,2)</f>
        <v>17812.08</v>
      </c>
      <c r="E29" s="4" t="n">
        <f aca="false">G28</f>
        <v>2100000</v>
      </c>
      <c r="F29" s="4" t="n">
        <f aca="false">ROUND('Tawaruq Loan'!$E$3/'Tawaruq Loan'!$B$4,2)</f>
        <v>50000</v>
      </c>
      <c r="G29" s="4" t="n">
        <f aca="false">E29-F29</f>
        <v>2050000</v>
      </c>
    </row>
    <row r="30" customFormat="false" ht="15" hidden="false" customHeight="false" outlineLevel="0" collapsed="false">
      <c r="A30" s="5" t="n">
        <v>20</v>
      </c>
      <c r="B30" s="17" t="n">
        <f aca="false">EDATE(B29,1)</f>
        <v>45736</v>
      </c>
      <c r="C30" s="5" t="n">
        <f aca="false">B30-B29</f>
        <v>28</v>
      </c>
      <c r="D30" s="4" t="n">
        <f aca="false">ROUND(E30*'Tawaruq Loan'!$B$5*C30/360,2)</f>
        <v>15705.28</v>
      </c>
      <c r="E30" s="4" t="n">
        <f aca="false">G29</f>
        <v>2050000</v>
      </c>
      <c r="F30" s="4" t="n">
        <f aca="false">ROUND('Tawaruq Loan'!$E$3/'Tawaruq Loan'!$B$4,2)</f>
        <v>50000</v>
      </c>
      <c r="G30" s="4" t="n">
        <f aca="false">E30-F30</f>
        <v>2000000</v>
      </c>
    </row>
    <row r="31" customFormat="false" ht="15" hidden="false" customHeight="false" outlineLevel="0" collapsed="false">
      <c r="A31" s="5" t="n">
        <v>21</v>
      </c>
      <c r="B31" s="17" t="n">
        <f aca="false">EDATE(B30,1)</f>
        <v>45767</v>
      </c>
      <c r="C31" s="5" t="n">
        <f aca="false">B31-B30</f>
        <v>31</v>
      </c>
      <c r="D31" s="4" t="n">
        <f aca="false">ROUND(E31*'Tawaruq Loan'!$B$5*C31/360,2)</f>
        <v>16963.89</v>
      </c>
      <c r="E31" s="4" t="n">
        <f aca="false">G30</f>
        <v>2000000</v>
      </c>
      <c r="F31" s="4" t="n">
        <f aca="false">ROUND('Tawaruq Loan'!$E$3/'Tawaruq Loan'!$B$4,2)</f>
        <v>50000</v>
      </c>
      <c r="G31" s="4" t="n">
        <f aca="false">E31-F31</f>
        <v>1950000</v>
      </c>
    </row>
    <row r="32" customFormat="false" ht="15" hidden="false" customHeight="false" outlineLevel="0" collapsed="false">
      <c r="A32" s="5" t="n">
        <v>22</v>
      </c>
      <c r="B32" s="17" t="n">
        <f aca="false">EDATE(B31,1)</f>
        <v>45797</v>
      </c>
      <c r="C32" s="5" t="n">
        <f aca="false">B32-B31</f>
        <v>30</v>
      </c>
      <c r="D32" s="4" t="n">
        <f aca="false">ROUND(E32*'Tawaruq Loan'!$B$5*C32/360,2)</f>
        <v>16006.25</v>
      </c>
      <c r="E32" s="4" t="n">
        <f aca="false">G31</f>
        <v>1950000</v>
      </c>
      <c r="F32" s="4" t="n">
        <f aca="false">ROUND('Tawaruq Loan'!$E$3/'Tawaruq Loan'!$B$4,2)</f>
        <v>50000</v>
      </c>
      <c r="G32" s="4" t="n">
        <f aca="false">E32-F32</f>
        <v>1900000</v>
      </c>
    </row>
    <row r="33" customFormat="false" ht="15" hidden="false" customHeight="false" outlineLevel="0" collapsed="false">
      <c r="A33" s="5" t="n">
        <v>23</v>
      </c>
      <c r="B33" s="17" t="n">
        <f aca="false">EDATE(B32,1)</f>
        <v>45828</v>
      </c>
      <c r="C33" s="5" t="n">
        <f aca="false">B33-B32</f>
        <v>31</v>
      </c>
      <c r="D33" s="4" t="n">
        <f aca="false">ROUND(E33*'Tawaruq Loan'!$B$5*C33/360,2)</f>
        <v>16115.69</v>
      </c>
      <c r="E33" s="4" t="n">
        <f aca="false">G32</f>
        <v>1900000</v>
      </c>
      <c r="F33" s="4" t="n">
        <f aca="false">ROUND('Tawaruq Loan'!$E$3/'Tawaruq Loan'!$B$4,2)</f>
        <v>50000</v>
      </c>
      <c r="G33" s="4" t="n">
        <f aca="false">E33-F33</f>
        <v>1850000</v>
      </c>
    </row>
    <row r="34" customFormat="false" ht="15" hidden="false" customHeight="false" outlineLevel="0" collapsed="false">
      <c r="A34" s="5" t="n">
        <v>24</v>
      </c>
      <c r="B34" s="17" t="n">
        <f aca="false">EDATE(B33,1)</f>
        <v>45858</v>
      </c>
      <c r="C34" s="5" t="n">
        <f aca="false">B34-B33</f>
        <v>30</v>
      </c>
      <c r="D34" s="4" t="n">
        <f aca="false">ROUND(E34*'Tawaruq Loan'!$B$5*C34/360,2)</f>
        <v>15185.42</v>
      </c>
      <c r="E34" s="4" t="n">
        <f aca="false">G33</f>
        <v>1850000</v>
      </c>
      <c r="F34" s="4" t="n">
        <f aca="false">ROUND('Tawaruq Loan'!$E$3/'Tawaruq Loan'!$B$4,2)</f>
        <v>50000</v>
      </c>
      <c r="G34" s="4" t="n">
        <f aca="false">E34-F34</f>
        <v>1800000</v>
      </c>
    </row>
    <row r="35" customFormat="false" ht="15" hidden="false" customHeight="false" outlineLevel="0" collapsed="false">
      <c r="A35" s="5" t="n">
        <v>25</v>
      </c>
      <c r="B35" s="17" t="n">
        <f aca="false">EDATE(B34,1)</f>
        <v>45889</v>
      </c>
      <c r="C35" s="5" t="n">
        <f aca="false">B35-B34</f>
        <v>31</v>
      </c>
      <c r="D35" s="4" t="n">
        <f aca="false">ROUND(E35*'Tawaruq Loan'!$B$5*C35/360,2)</f>
        <v>15267.5</v>
      </c>
      <c r="E35" s="4" t="n">
        <f aca="false">G34</f>
        <v>1800000</v>
      </c>
      <c r="F35" s="4" t="n">
        <f aca="false">ROUND('Tawaruq Loan'!$E$3/'Tawaruq Loan'!$B$4,2)</f>
        <v>50000</v>
      </c>
      <c r="G35" s="4" t="n">
        <f aca="false">E35-F35</f>
        <v>1750000</v>
      </c>
    </row>
    <row r="36" customFormat="false" ht="15" hidden="false" customHeight="false" outlineLevel="0" collapsed="false">
      <c r="A36" s="5" t="n">
        <v>26</v>
      </c>
      <c r="B36" s="17" t="n">
        <f aca="false">EDATE(B35,1)</f>
        <v>45920</v>
      </c>
      <c r="C36" s="5" t="n">
        <f aca="false">B36-B35</f>
        <v>31</v>
      </c>
      <c r="D36" s="4" t="n">
        <f aca="false">ROUND(E36*'Tawaruq Loan'!$B$5*C36/360,2)</f>
        <v>14843.4</v>
      </c>
      <c r="E36" s="4" t="n">
        <f aca="false">G35</f>
        <v>1750000</v>
      </c>
      <c r="F36" s="4" t="n">
        <f aca="false">ROUND('Tawaruq Loan'!$E$3/'Tawaruq Loan'!$B$4,2)</f>
        <v>50000</v>
      </c>
      <c r="G36" s="4" t="n">
        <f aca="false">E36-F36</f>
        <v>1700000</v>
      </c>
    </row>
    <row r="37" customFormat="false" ht="15" hidden="false" customHeight="false" outlineLevel="0" collapsed="false">
      <c r="A37" s="5" t="n">
        <v>27</v>
      </c>
      <c r="B37" s="17" t="n">
        <f aca="false">EDATE(B36,1)</f>
        <v>45950</v>
      </c>
      <c r="C37" s="5" t="n">
        <f aca="false">B37-B36</f>
        <v>30</v>
      </c>
      <c r="D37" s="4" t="n">
        <f aca="false">ROUND(E37*'Tawaruq Loan'!$B$5*C37/360,2)</f>
        <v>13954.17</v>
      </c>
      <c r="E37" s="4" t="n">
        <f aca="false">G36</f>
        <v>1700000</v>
      </c>
      <c r="F37" s="4" t="n">
        <f aca="false">ROUND('Tawaruq Loan'!$E$3/'Tawaruq Loan'!$B$4,2)</f>
        <v>50000</v>
      </c>
      <c r="G37" s="4" t="n">
        <f aca="false">E37-F37</f>
        <v>1650000</v>
      </c>
    </row>
    <row r="38" customFormat="false" ht="15" hidden="false" customHeight="false" outlineLevel="0" collapsed="false">
      <c r="A38" s="5" t="n">
        <v>28</v>
      </c>
      <c r="B38" s="17" t="n">
        <f aca="false">EDATE(B37,1)</f>
        <v>45981</v>
      </c>
      <c r="C38" s="5" t="n">
        <f aca="false">B38-B37</f>
        <v>31</v>
      </c>
      <c r="D38" s="4" t="n">
        <f aca="false">ROUND(E38*'Tawaruq Loan'!$B$5*C38/360,2)</f>
        <v>13995.21</v>
      </c>
      <c r="E38" s="4" t="n">
        <f aca="false">G37</f>
        <v>1650000</v>
      </c>
      <c r="F38" s="4" t="n">
        <f aca="false">ROUND('Tawaruq Loan'!$E$3/'Tawaruq Loan'!$B$4,2)</f>
        <v>50000</v>
      </c>
      <c r="G38" s="4" t="n">
        <f aca="false">E38-F38</f>
        <v>1600000</v>
      </c>
    </row>
    <row r="39" customFormat="false" ht="15" hidden="false" customHeight="false" outlineLevel="0" collapsed="false">
      <c r="A39" s="5" t="n">
        <v>29</v>
      </c>
      <c r="B39" s="17" t="n">
        <f aca="false">EDATE(B38,1)</f>
        <v>46011</v>
      </c>
      <c r="C39" s="5" t="n">
        <f aca="false">B39-B38</f>
        <v>30</v>
      </c>
      <c r="D39" s="4" t="n">
        <f aca="false">ROUND(E39*'Tawaruq Loan'!$B$5*C39/360,2)</f>
        <v>13133.33</v>
      </c>
      <c r="E39" s="4" t="n">
        <f aca="false">G38</f>
        <v>1600000</v>
      </c>
      <c r="F39" s="4" t="n">
        <f aca="false">ROUND('Tawaruq Loan'!$E$3/'Tawaruq Loan'!$B$4,2)</f>
        <v>50000</v>
      </c>
      <c r="G39" s="4" t="n">
        <f aca="false">E39-F39</f>
        <v>1550000</v>
      </c>
    </row>
    <row r="40" customFormat="false" ht="15" hidden="false" customHeight="false" outlineLevel="0" collapsed="false">
      <c r="A40" s="5" t="n">
        <v>30</v>
      </c>
      <c r="B40" s="17" t="n">
        <f aca="false">EDATE(B39,1)</f>
        <v>46042</v>
      </c>
      <c r="C40" s="5" t="n">
        <f aca="false">B40-B39</f>
        <v>31</v>
      </c>
      <c r="D40" s="4" t="n">
        <f aca="false">ROUND(E40*'Tawaruq Loan'!$B$5*C40/360,2)</f>
        <v>13147.01</v>
      </c>
      <c r="E40" s="4" t="n">
        <f aca="false">G39</f>
        <v>1550000</v>
      </c>
      <c r="F40" s="4" t="n">
        <f aca="false">ROUND('Tawaruq Loan'!$E$3/'Tawaruq Loan'!$B$4,2)</f>
        <v>50000</v>
      </c>
      <c r="G40" s="4" t="n">
        <f aca="false">E40-F40</f>
        <v>1500000</v>
      </c>
    </row>
    <row r="41" customFormat="false" ht="15" hidden="false" customHeight="false" outlineLevel="0" collapsed="false">
      <c r="A41" s="5" t="n">
        <v>31</v>
      </c>
      <c r="B41" s="17" t="n">
        <f aca="false">EDATE(B40,1)</f>
        <v>46073</v>
      </c>
      <c r="C41" s="5" t="n">
        <f aca="false">B41-B40</f>
        <v>31</v>
      </c>
      <c r="D41" s="4" t="n">
        <f aca="false">ROUND(E41*'Tawaruq Loan'!$B$5*C41/360,2)</f>
        <v>12722.92</v>
      </c>
      <c r="E41" s="4" t="n">
        <f aca="false">G40</f>
        <v>1500000</v>
      </c>
      <c r="F41" s="4" t="n">
        <f aca="false">ROUND('Tawaruq Loan'!$E$3/'Tawaruq Loan'!$B$4,2)</f>
        <v>50000</v>
      </c>
      <c r="G41" s="4" t="n">
        <f aca="false">E41-F41</f>
        <v>1450000</v>
      </c>
    </row>
    <row r="42" customFormat="false" ht="15" hidden="false" customHeight="false" outlineLevel="0" collapsed="false">
      <c r="A42" s="5" t="n">
        <v>32</v>
      </c>
      <c r="B42" s="17" t="n">
        <f aca="false">EDATE(B41,1)</f>
        <v>46101</v>
      </c>
      <c r="C42" s="5" t="n">
        <f aca="false">B42-B41</f>
        <v>28</v>
      </c>
      <c r="D42" s="4" t="n">
        <f aca="false">ROUND(E42*'Tawaruq Loan'!$B$5*C42/360,2)</f>
        <v>11108.61</v>
      </c>
      <c r="E42" s="4" t="n">
        <f aca="false">G41</f>
        <v>1450000</v>
      </c>
      <c r="F42" s="4" t="n">
        <f aca="false">ROUND('Tawaruq Loan'!$E$3/'Tawaruq Loan'!$B$4,2)</f>
        <v>50000</v>
      </c>
      <c r="G42" s="4" t="n">
        <f aca="false">E42-F42</f>
        <v>1400000</v>
      </c>
    </row>
    <row r="43" customFormat="false" ht="15" hidden="false" customHeight="false" outlineLevel="0" collapsed="false">
      <c r="A43" s="5" t="n">
        <v>33</v>
      </c>
      <c r="B43" s="17" t="n">
        <f aca="false">EDATE(B42,1)</f>
        <v>46132</v>
      </c>
      <c r="C43" s="5" t="n">
        <f aca="false">B43-B42</f>
        <v>31</v>
      </c>
      <c r="D43" s="4" t="n">
        <f aca="false">ROUND(E43*'Tawaruq Loan'!$B$5*C43/360,2)</f>
        <v>11874.72</v>
      </c>
      <c r="E43" s="4" t="n">
        <f aca="false">G42</f>
        <v>1400000</v>
      </c>
      <c r="F43" s="4" t="n">
        <f aca="false">ROUND('Tawaruq Loan'!$E$3/'Tawaruq Loan'!$B$4,2)</f>
        <v>50000</v>
      </c>
      <c r="G43" s="4" t="n">
        <f aca="false">E43-F43</f>
        <v>1350000</v>
      </c>
    </row>
    <row r="44" customFormat="false" ht="15" hidden="false" customHeight="false" outlineLevel="0" collapsed="false">
      <c r="A44" s="5" t="n">
        <v>34</v>
      </c>
      <c r="B44" s="17" t="n">
        <f aca="false">EDATE(B43,1)</f>
        <v>46162</v>
      </c>
      <c r="C44" s="5" t="n">
        <f aca="false">B44-B43</f>
        <v>30</v>
      </c>
      <c r="D44" s="4" t="n">
        <f aca="false">ROUND(E44*'Tawaruq Loan'!$B$5*C44/360,2)</f>
        <v>11081.25</v>
      </c>
      <c r="E44" s="4" t="n">
        <f aca="false">G43</f>
        <v>1350000</v>
      </c>
      <c r="F44" s="4" t="n">
        <f aca="false">ROUND('Tawaruq Loan'!$E$3/'Tawaruq Loan'!$B$4,2)</f>
        <v>50000</v>
      </c>
      <c r="G44" s="4" t="n">
        <f aca="false">E44-F44</f>
        <v>1300000</v>
      </c>
    </row>
    <row r="45" customFormat="false" ht="15" hidden="false" customHeight="false" outlineLevel="0" collapsed="false">
      <c r="A45" s="5" t="n">
        <v>35</v>
      </c>
      <c r="B45" s="17" t="n">
        <f aca="false">EDATE(B44,1)</f>
        <v>46193</v>
      </c>
      <c r="C45" s="5" t="n">
        <f aca="false">B45-B44</f>
        <v>31</v>
      </c>
      <c r="D45" s="4" t="n">
        <f aca="false">ROUND(E45*'Tawaruq Loan'!$B$5*C45/360,2)</f>
        <v>11026.53</v>
      </c>
      <c r="E45" s="4" t="n">
        <f aca="false">G44</f>
        <v>1300000</v>
      </c>
      <c r="F45" s="4" t="n">
        <f aca="false">ROUND('Tawaruq Loan'!$E$3/'Tawaruq Loan'!$B$4,2)</f>
        <v>50000</v>
      </c>
      <c r="G45" s="4" t="n">
        <f aca="false">E45-F45</f>
        <v>1250000</v>
      </c>
    </row>
    <row r="46" customFormat="false" ht="15" hidden="false" customHeight="false" outlineLevel="0" collapsed="false">
      <c r="A46" s="5" t="n">
        <v>36</v>
      </c>
      <c r="B46" s="17" t="n">
        <f aca="false">EDATE(B45,1)</f>
        <v>46223</v>
      </c>
      <c r="C46" s="5" t="n">
        <f aca="false">B46-B45</f>
        <v>30</v>
      </c>
      <c r="D46" s="4" t="n">
        <f aca="false">ROUND(E46*'Tawaruq Loan'!$B$5*C46/360,2)</f>
        <v>10260.42</v>
      </c>
      <c r="E46" s="4" t="n">
        <f aca="false">G45</f>
        <v>1250000</v>
      </c>
      <c r="F46" s="4" t="n">
        <f aca="false">ROUND('Tawaruq Loan'!$E$3/'Tawaruq Loan'!$B$4,2)</f>
        <v>50000</v>
      </c>
      <c r="G46" s="4" t="n">
        <f aca="false">E46-F46</f>
        <v>1200000</v>
      </c>
    </row>
    <row r="47" customFormat="false" ht="15" hidden="false" customHeight="false" outlineLevel="0" collapsed="false">
      <c r="A47" s="5" t="n">
        <v>37</v>
      </c>
      <c r="B47" s="17" t="n">
        <f aca="false">EDATE(B46,1)</f>
        <v>46254</v>
      </c>
      <c r="C47" s="5" t="n">
        <f aca="false">B47-B46</f>
        <v>31</v>
      </c>
      <c r="D47" s="4" t="n">
        <f aca="false">ROUND(E47*'Tawaruq Loan'!$B$5*C47/360,2)</f>
        <v>10178.33</v>
      </c>
      <c r="E47" s="4" t="n">
        <f aca="false">G46</f>
        <v>1200000</v>
      </c>
      <c r="F47" s="4" t="n">
        <f aca="false">ROUND('Tawaruq Loan'!$E$3/'Tawaruq Loan'!$B$4,2)</f>
        <v>50000</v>
      </c>
      <c r="G47" s="4" t="n">
        <f aca="false">E47-F47</f>
        <v>1150000</v>
      </c>
    </row>
    <row r="48" customFormat="false" ht="15" hidden="false" customHeight="false" outlineLevel="0" collapsed="false">
      <c r="A48" s="5" t="n">
        <v>38</v>
      </c>
      <c r="B48" s="17" t="n">
        <f aca="false">EDATE(B47,1)</f>
        <v>46285</v>
      </c>
      <c r="C48" s="5" t="n">
        <f aca="false">B48-B47</f>
        <v>31</v>
      </c>
      <c r="D48" s="4" t="n">
        <f aca="false">ROUND(E48*'Tawaruq Loan'!$B$5*C48/360,2)</f>
        <v>9754.24</v>
      </c>
      <c r="E48" s="4" t="n">
        <f aca="false">G47</f>
        <v>1150000</v>
      </c>
      <c r="F48" s="4" t="n">
        <f aca="false">ROUND('Tawaruq Loan'!$E$3/'Tawaruq Loan'!$B$4,2)</f>
        <v>50000</v>
      </c>
      <c r="G48" s="4" t="n">
        <f aca="false">E48-F48</f>
        <v>1100000</v>
      </c>
    </row>
    <row r="49" customFormat="false" ht="15" hidden="false" customHeight="false" outlineLevel="0" collapsed="false">
      <c r="A49" s="5" t="n">
        <v>39</v>
      </c>
      <c r="B49" s="17" t="n">
        <f aca="false">EDATE(B48,1)</f>
        <v>46315</v>
      </c>
      <c r="C49" s="5" t="n">
        <f aca="false">B49-B48</f>
        <v>30</v>
      </c>
      <c r="D49" s="4" t="n">
        <f aca="false">ROUND(E49*'Tawaruq Loan'!$B$5*C49/360,2)</f>
        <v>9029.17</v>
      </c>
      <c r="E49" s="4" t="n">
        <f aca="false">G48</f>
        <v>1100000</v>
      </c>
      <c r="F49" s="4" t="n">
        <f aca="false">ROUND('Tawaruq Loan'!$E$3/'Tawaruq Loan'!$B$4,2)</f>
        <v>50000</v>
      </c>
      <c r="G49" s="4" t="n">
        <f aca="false">E49-F49</f>
        <v>1050000</v>
      </c>
    </row>
    <row r="50" customFormat="false" ht="15" hidden="false" customHeight="false" outlineLevel="0" collapsed="false">
      <c r="A50" s="5" t="n">
        <v>40</v>
      </c>
      <c r="B50" s="17" t="n">
        <f aca="false">EDATE(B49,1)</f>
        <v>46346</v>
      </c>
      <c r="C50" s="5" t="n">
        <f aca="false">B50-B49</f>
        <v>31</v>
      </c>
      <c r="D50" s="4" t="n">
        <f aca="false">ROUND(E50*'Tawaruq Loan'!$B$5*C50/360,2)</f>
        <v>8906.04</v>
      </c>
      <c r="E50" s="4" t="n">
        <f aca="false">G49</f>
        <v>1050000</v>
      </c>
      <c r="F50" s="4" t="n">
        <f aca="false">ROUND('Tawaruq Loan'!$E$3/'Tawaruq Loan'!$B$4,2)</f>
        <v>50000</v>
      </c>
      <c r="G50" s="4" t="n">
        <f aca="false">E50-F50</f>
        <v>1000000</v>
      </c>
    </row>
    <row r="51" customFormat="false" ht="15" hidden="false" customHeight="false" outlineLevel="0" collapsed="false">
      <c r="A51" s="5" t="n">
        <v>41</v>
      </c>
      <c r="B51" s="17" t="n">
        <f aca="false">EDATE(B50,1)</f>
        <v>46376</v>
      </c>
      <c r="C51" s="5" t="n">
        <f aca="false">B51-B50</f>
        <v>30</v>
      </c>
      <c r="D51" s="4" t="n">
        <f aca="false">ROUND(E51*'Tawaruq Loan'!$B$5*C51/360,2)</f>
        <v>8208.33</v>
      </c>
      <c r="E51" s="4" t="n">
        <f aca="false">G50</f>
        <v>1000000</v>
      </c>
      <c r="F51" s="4" t="n">
        <f aca="false">ROUND('Tawaruq Loan'!$E$3/'Tawaruq Loan'!$B$4,2)</f>
        <v>50000</v>
      </c>
      <c r="G51" s="4" t="n">
        <f aca="false">E51-F51</f>
        <v>950000</v>
      </c>
    </row>
    <row r="52" customFormat="false" ht="15" hidden="false" customHeight="false" outlineLevel="0" collapsed="false">
      <c r="A52" s="5" t="n">
        <v>42</v>
      </c>
      <c r="B52" s="17" t="n">
        <f aca="false">EDATE(B51,1)</f>
        <v>46407</v>
      </c>
      <c r="C52" s="5" t="n">
        <f aca="false">B52-B51</f>
        <v>31</v>
      </c>
      <c r="D52" s="4" t="n">
        <f aca="false">ROUND(E52*'Tawaruq Loan'!$B$5*C52/360,2)</f>
        <v>8057.85</v>
      </c>
      <c r="E52" s="4" t="n">
        <f aca="false">G51</f>
        <v>950000</v>
      </c>
      <c r="F52" s="4" t="n">
        <f aca="false">ROUND('Tawaruq Loan'!$E$3/'Tawaruq Loan'!$B$4,2)</f>
        <v>50000</v>
      </c>
      <c r="G52" s="4" t="n">
        <f aca="false">E52-F52</f>
        <v>900000</v>
      </c>
    </row>
    <row r="53" customFormat="false" ht="15" hidden="false" customHeight="false" outlineLevel="0" collapsed="false">
      <c r="A53" s="5" t="n">
        <v>43</v>
      </c>
      <c r="B53" s="17" t="n">
        <f aca="false">EDATE(B52,1)</f>
        <v>46438</v>
      </c>
      <c r="C53" s="5" t="n">
        <f aca="false">B53-B52</f>
        <v>31</v>
      </c>
      <c r="D53" s="4" t="n">
        <f aca="false">ROUND(E53*'Tawaruq Loan'!$B$5*C53/360,2)</f>
        <v>7633.75</v>
      </c>
      <c r="E53" s="4" t="n">
        <f aca="false">G52</f>
        <v>900000</v>
      </c>
      <c r="F53" s="4" t="n">
        <f aca="false">ROUND('Tawaruq Loan'!$E$3/'Tawaruq Loan'!$B$4,2)</f>
        <v>50000</v>
      </c>
      <c r="G53" s="4" t="n">
        <f aca="false">E53-F53</f>
        <v>850000</v>
      </c>
    </row>
    <row r="54" customFormat="false" ht="15" hidden="false" customHeight="false" outlineLevel="0" collapsed="false">
      <c r="A54" s="5" t="n">
        <v>44</v>
      </c>
      <c r="B54" s="17" t="n">
        <f aca="false">EDATE(B53,1)</f>
        <v>46466</v>
      </c>
      <c r="C54" s="5" t="n">
        <f aca="false">B54-B53</f>
        <v>28</v>
      </c>
      <c r="D54" s="4" t="n">
        <f aca="false">ROUND(E54*'Tawaruq Loan'!$B$5*C54/360,2)</f>
        <v>6511.94</v>
      </c>
      <c r="E54" s="4" t="n">
        <f aca="false">G53</f>
        <v>850000</v>
      </c>
      <c r="F54" s="4" t="n">
        <f aca="false">ROUND('Tawaruq Loan'!$E$3/'Tawaruq Loan'!$B$4,2)</f>
        <v>50000</v>
      </c>
      <c r="G54" s="4" t="n">
        <f aca="false">E54-F54</f>
        <v>800000</v>
      </c>
    </row>
    <row r="55" customFormat="false" ht="15" hidden="false" customHeight="false" outlineLevel="0" collapsed="false">
      <c r="A55" s="5" t="n">
        <v>45</v>
      </c>
      <c r="B55" s="17" t="n">
        <f aca="false">EDATE(B54,1)</f>
        <v>46497</v>
      </c>
      <c r="C55" s="5" t="n">
        <f aca="false">B55-B54</f>
        <v>31</v>
      </c>
      <c r="D55" s="4" t="n">
        <f aca="false">ROUND(E55*'Tawaruq Loan'!$B$5*C55/360,2)</f>
        <v>6785.56</v>
      </c>
      <c r="E55" s="4" t="n">
        <f aca="false">G54</f>
        <v>800000</v>
      </c>
      <c r="F55" s="4" t="n">
        <f aca="false">ROUND('Tawaruq Loan'!$E$3/'Tawaruq Loan'!$B$4,2)</f>
        <v>50000</v>
      </c>
      <c r="G55" s="4" t="n">
        <f aca="false">E55-F55</f>
        <v>750000</v>
      </c>
    </row>
    <row r="56" customFormat="false" ht="15" hidden="false" customHeight="false" outlineLevel="0" collapsed="false">
      <c r="A56" s="5" t="n">
        <v>46</v>
      </c>
      <c r="B56" s="17" t="n">
        <f aca="false">EDATE(B55,1)</f>
        <v>46527</v>
      </c>
      <c r="C56" s="5" t="n">
        <f aca="false">B56-B55</f>
        <v>30</v>
      </c>
      <c r="D56" s="4" t="n">
        <f aca="false">ROUND(E56*'Tawaruq Loan'!$B$5*C56/360,2)</f>
        <v>6156.25</v>
      </c>
      <c r="E56" s="4" t="n">
        <f aca="false">G55</f>
        <v>750000</v>
      </c>
      <c r="F56" s="4" t="n">
        <f aca="false">ROUND('Tawaruq Loan'!$E$3/'Tawaruq Loan'!$B$4,2)</f>
        <v>50000</v>
      </c>
      <c r="G56" s="4" t="n">
        <f aca="false">E56-F56</f>
        <v>700000</v>
      </c>
    </row>
    <row r="57" customFormat="false" ht="15" hidden="false" customHeight="false" outlineLevel="0" collapsed="false">
      <c r="A57" s="5" t="n">
        <v>47</v>
      </c>
      <c r="B57" s="17" t="n">
        <f aca="false">EDATE(B56,1)</f>
        <v>46558</v>
      </c>
      <c r="C57" s="5" t="n">
        <f aca="false">B57-B56</f>
        <v>31</v>
      </c>
      <c r="D57" s="4" t="n">
        <f aca="false">ROUND(E57*'Tawaruq Loan'!$B$5*C57/360,2)</f>
        <v>5937.36</v>
      </c>
      <c r="E57" s="4" t="n">
        <f aca="false">G56</f>
        <v>700000</v>
      </c>
      <c r="F57" s="4" t="n">
        <f aca="false">ROUND('Tawaruq Loan'!$E$3/'Tawaruq Loan'!$B$4,2)</f>
        <v>50000</v>
      </c>
      <c r="G57" s="4" t="n">
        <f aca="false">E57-F57</f>
        <v>650000</v>
      </c>
    </row>
    <row r="58" customFormat="false" ht="15" hidden="false" customHeight="false" outlineLevel="0" collapsed="false">
      <c r="A58" s="5" t="n">
        <v>48</v>
      </c>
      <c r="B58" s="17" t="n">
        <f aca="false">EDATE(B57,1)</f>
        <v>46588</v>
      </c>
      <c r="C58" s="5" t="n">
        <f aca="false">B58-B57</f>
        <v>30</v>
      </c>
      <c r="D58" s="4" t="n">
        <f aca="false">ROUND(E58*'Tawaruq Loan'!$B$5*C58/360,2)</f>
        <v>5335.42</v>
      </c>
      <c r="E58" s="4" t="n">
        <f aca="false">G57</f>
        <v>650000</v>
      </c>
      <c r="F58" s="4" t="n">
        <f aca="false">ROUND('Tawaruq Loan'!$E$3/'Tawaruq Loan'!$B$4,2)</f>
        <v>50000</v>
      </c>
      <c r="G58" s="4" t="n">
        <f aca="false">E58-F58</f>
        <v>600000</v>
      </c>
    </row>
    <row r="59" customFormat="false" ht="15" hidden="false" customHeight="false" outlineLevel="0" collapsed="false">
      <c r="A59" s="5" t="n">
        <v>49</v>
      </c>
      <c r="B59" s="17" t="n">
        <f aca="false">EDATE(B58,1)</f>
        <v>46619</v>
      </c>
      <c r="C59" s="5" t="n">
        <f aca="false">B59-B58</f>
        <v>31</v>
      </c>
      <c r="D59" s="4" t="n">
        <f aca="false">ROUND(E59*'Tawaruq Loan'!$B$5*C59/360,2)</f>
        <v>5089.17</v>
      </c>
      <c r="E59" s="4" t="n">
        <f aca="false">G58</f>
        <v>600000</v>
      </c>
      <c r="F59" s="4" t="n">
        <f aca="false">ROUND('Tawaruq Loan'!$E$3/'Tawaruq Loan'!$B$4,2)</f>
        <v>50000</v>
      </c>
      <c r="G59" s="4" t="n">
        <f aca="false">E59-F59</f>
        <v>550000</v>
      </c>
    </row>
    <row r="60" customFormat="false" ht="15" hidden="false" customHeight="false" outlineLevel="0" collapsed="false">
      <c r="A60" s="5" t="n">
        <v>50</v>
      </c>
      <c r="B60" s="17" t="n">
        <f aca="false">EDATE(B59,1)</f>
        <v>46650</v>
      </c>
      <c r="C60" s="5" t="n">
        <f aca="false">B60-B59</f>
        <v>31</v>
      </c>
      <c r="D60" s="4" t="n">
        <f aca="false">ROUND(E60*'Tawaruq Loan'!$B$5*C60/360,2)</f>
        <v>4665.07</v>
      </c>
      <c r="E60" s="4" t="n">
        <f aca="false">G59</f>
        <v>550000</v>
      </c>
      <c r="F60" s="4" t="n">
        <f aca="false">ROUND('Tawaruq Loan'!$E$3/'Tawaruq Loan'!$B$4,2)</f>
        <v>50000</v>
      </c>
      <c r="G60" s="4" t="n">
        <f aca="false">E60-F60</f>
        <v>500000</v>
      </c>
    </row>
    <row r="61" customFormat="false" ht="15" hidden="false" customHeight="false" outlineLevel="0" collapsed="false">
      <c r="A61" s="5" t="n">
        <v>51</v>
      </c>
      <c r="B61" s="17" t="n">
        <f aca="false">EDATE(B60,1)</f>
        <v>46680</v>
      </c>
      <c r="C61" s="5" t="n">
        <f aca="false">B61-B60</f>
        <v>30</v>
      </c>
      <c r="D61" s="4" t="n">
        <f aca="false">ROUND(E61*'Tawaruq Loan'!$B$5*C61/360,2)</f>
        <v>4104.17</v>
      </c>
      <c r="E61" s="4" t="n">
        <f aca="false">G60</f>
        <v>500000</v>
      </c>
      <c r="F61" s="4" t="n">
        <f aca="false">ROUND('Tawaruq Loan'!$E$3/'Tawaruq Loan'!$B$4,2)</f>
        <v>50000</v>
      </c>
      <c r="G61" s="4" t="n">
        <f aca="false">E61-F61</f>
        <v>450000</v>
      </c>
    </row>
    <row r="62" customFormat="false" ht="15" hidden="false" customHeight="false" outlineLevel="0" collapsed="false">
      <c r="A62" s="5" t="n">
        <v>52</v>
      </c>
      <c r="B62" s="17" t="n">
        <f aca="false">EDATE(B61,1)</f>
        <v>46711</v>
      </c>
      <c r="C62" s="5" t="n">
        <f aca="false">B62-B61</f>
        <v>31</v>
      </c>
      <c r="D62" s="4" t="n">
        <f aca="false">ROUND(E62*'Tawaruq Loan'!$B$5*C62/360,2)</f>
        <v>3816.88</v>
      </c>
      <c r="E62" s="4" t="n">
        <f aca="false">G61</f>
        <v>450000</v>
      </c>
      <c r="F62" s="4" t="n">
        <f aca="false">ROUND('Tawaruq Loan'!$E$3/'Tawaruq Loan'!$B$4,2)</f>
        <v>50000</v>
      </c>
      <c r="G62" s="4" t="n">
        <f aca="false">E62-F62</f>
        <v>400000</v>
      </c>
    </row>
    <row r="63" customFormat="false" ht="15" hidden="false" customHeight="false" outlineLevel="0" collapsed="false">
      <c r="A63" s="5" t="n">
        <v>53</v>
      </c>
      <c r="B63" s="17" t="n">
        <f aca="false">EDATE(B62,1)</f>
        <v>46741</v>
      </c>
      <c r="C63" s="5" t="n">
        <f aca="false">B63-B62</f>
        <v>30</v>
      </c>
      <c r="D63" s="4" t="n">
        <f aca="false">ROUND(E63*'Tawaruq Loan'!$B$5*C63/360,2)</f>
        <v>3283.33</v>
      </c>
      <c r="E63" s="4" t="n">
        <f aca="false">G62</f>
        <v>400000</v>
      </c>
      <c r="F63" s="4" t="n">
        <f aca="false">ROUND('Tawaruq Loan'!$E$3/'Tawaruq Loan'!$B$4,2)</f>
        <v>50000</v>
      </c>
      <c r="G63" s="4" t="n">
        <f aca="false">E63-F63</f>
        <v>350000</v>
      </c>
    </row>
    <row r="64" customFormat="false" ht="15" hidden="false" customHeight="false" outlineLevel="0" collapsed="false">
      <c r="A64" s="5" t="n">
        <v>54</v>
      </c>
      <c r="B64" s="17" t="n">
        <f aca="false">EDATE(B63,1)</f>
        <v>46772</v>
      </c>
      <c r="C64" s="5" t="n">
        <f aca="false">B64-B63</f>
        <v>31</v>
      </c>
      <c r="D64" s="4" t="n">
        <f aca="false">ROUND(E64*'Tawaruq Loan'!$B$5*C64/360,2)</f>
        <v>2968.68</v>
      </c>
      <c r="E64" s="4" t="n">
        <f aca="false">G63</f>
        <v>350000</v>
      </c>
      <c r="F64" s="4" t="n">
        <f aca="false">ROUND('Tawaruq Loan'!$E$3/'Tawaruq Loan'!$B$4,2)</f>
        <v>50000</v>
      </c>
      <c r="G64" s="4" t="n">
        <f aca="false">E64-F64</f>
        <v>300000</v>
      </c>
    </row>
    <row r="65" customFormat="false" ht="15" hidden="false" customHeight="false" outlineLevel="0" collapsed="false">
      <c r="A65" s="5" t="n">
        <v>55</v>
      </c>
      <c r="B65" s="17" t="n">
        <f aca="false">EDATE(B64,1)</f>
        <v>46803</v>
      </c>
      <c r="C65" s="5" t="n">
        <f aca="false">B65-B64</f>
        <v>31</v>
      </c>
      <c r="D65" s="4" t="n">
        <f aca="false">ROUND(E65*'Tawaruq Loan'!$B$5*C65/360,2)</f>
        <v>2544.58</v>
      </c>
      <c r="E65" s="4" t="n">
        <f aca="false">G64</f>
        <v>300000</v>
      </c>
      <c r="F65" s="4" t="n">
        <f aca="false">ROUND('Tawaruq Loan'!$E$3/'Tawaruq Loan'!$B$4,2)</f>
        <v>50000</v>
      </c>
      <c r="G65" s="4" t="n">
        <f aca="false">E65-F65</f>
        <v>250000</v>
      </c>
    </row>
    <row r="66" customFormat="false" ht="15" hidden="false" customHeight="false" outlineLevel="0" collapsed="false">
      <c r="A66" s="5" t="n">
        <v>56</v>
      </c>
      <c r="B66" s="17" t="n">
        <f aca="false">EDATE(B65,1)</f>
        <v>46832</v>
      </c>
      <c r="C66" s="5" t="n">
        <f aca="false">B66-B65</f>
        <v>29</v>
      </c>
      <c r="D66" s="4" t="n">
        <f aca="false">ROUND(E66*'Tawaruq Loan'!$B$5*C66/360,2)</f>
        <v>1983.68</v>
      </c>
      <c r="E66" s="4" t="n">
        <f aca="false">G65</f>
        <v>250000</v>
      </c>
      <c r="F66" s="4" t="n">
        <f aca="false">ROUND('Tawaruq Loan'!$E$3/'Tawaruq Loan'!$B$4,2)</f>
        <v>50000</v>
      </c>
      <c r="G66" s="4" t="n">
        <f aca="false">E66-F66</f>
        <v>200000</v>
      </c>
    </row>
    <row r="67" customFormat="false" ht="15" hidden="false" customHeight="false" outlineLevel="0" collapsed="false">
      <c r="A67" s="5" t="n">
        <v>57</v>
      </c>
      <c r="B67" s="17" t="n">
        <f aca="false">EDATE(B66,1)</f>
        <v>46863</v>
      </c>
      <c r="C67" s="5" t="n">
        <f aca="false">B67-B66</f>
        <v>31</v>
      </c>
      <c r="D67" s="4" t="n">
        <f aca="false">ROUND(E67*'Tawaruq Loan'!$B$5*C67/360,2)</f>
        <v>1696.39</v>
      </c>
      <c r="E67" s="4" t="n">
        <f aca="false">G66</f>
        <v>200000</v>
      </c>
      <c r="F67" s="4" t="n">
        <f aca="false">ROUND('Tawaruq Loan'!$E$3/'Tawaruq Loan'!$B$4,2)</f>
        <v>50000</v>
      </c>
      <c r="G67" s="4" t="n">
        <f aca="false">E67-F67</f>
        <v>150000</v>
      </c>
    </row>
    <row r="68" customFormat="false" ht="15" hidden="false" customHeight="false" outlineLevel="0" collapsed="false">
      <c r="A68" s="5" t="n">
        <v>58</v>
      </c>
      <c r="B68" s="17" t="n">
        <f aca="false">EDATE(B67,1)</f>
        <v>46893</v>
      </c>
      <c r="C68" s="5" t="n">
        <f aca="false">B68-B67</f>
        <v>30</v>
      </c>
      <c r="D68" s="4" t="n">
        <f aca="false">ROUND(E68*'Tawaruq Loan'!$B$5*C68/360,2)</f>
        <v>1231.25</v>
      </c>
      <c r="E68" s="4" t="n">
        <f aca="false">G67</f>
        <v>150000</v>
      </c>
      <c r="F68" s="4" t="n">
        <f aca="false">ROUND('Tawaruq Loan'!$E$3/'Tawaruq Loan'!$B$4,2)</f>
        <v>50000</v>
      </c>
      <c r="G68" s="4" t="n">
        <f aca="false">E68-F68</f>
        <v>100000</v>
      </c>
    </row>
    <row r="69" customFormat="false" ht="15" hidden="false" customHeight="false" outlineLevel="0" collapsed="false">
      <c r="A69" s="5" t="n">
        <v>59</v>
      </c>
      <c r="B69" s="17" t="n">
        <f aca="false">EDATE(B68,1)</f>
        <v>46924</v>
      </c>
      <c r="C69" s="5" t="n">
        <f aca="false">B69-B68</f>
        <v>31</v>
      </c>
      <c r="D69" s="4" t="n">
        <f aca="false">ROUND(E69*'Tawaruq Loan'!$B$5*C69/360,2)</f>
        <v>848.19</v>
      </c>
      <c r="E69" s="4" t="n">
        <f aca="false">G68</f>
        <v>100000</v>
      </c>
      <c r="F69" s="4" t="n">
        <f aca="false">ROUND('Tawaruq Loan'!$E$3/'Tawaruq Loan'!$B$4,2)</f>
        <v>50000</v>
      </c>
      <c r="G69" s="4" t="n">
        <f aca="false">E69-F69</f>
        <v>50000</v>
      </c>
    </row>
    <row r="70" customFormat="false" ht="15" hidden="false" customHeight="false" outlineLevel="0" collapsed="false">
      <c r="A70" s="5" t="n">
        <v>60</v>
      </c>
      <c r="B70" s="17" t="n">
        <f aca="false">EDATE(B69,1)</f>
        <v>46954</v>
      </c>
      <c r="C70" s="5" t="n">
        <f aca="false">B70-B69</f>
        <v>30</v>
      </c>
      <c r="D70" s="4" t="n">
        <f aca="false">ROUND(E70*'Tawaruq Loan'!$B$5*C70/360,2)</f>
        <v>410.42</v>
      </c>
      <c r="E70" s="4" t="n">
        <f aca="false">G69</f>
        <v>50000</v>
      </c>
      <c r="F70" s="4" t="n">
        <f aca="false">E70</f>
        <v>50000</v>
      </c>
      <c r="G70" s="4" t="n">
        <f aca="false">E70-F70</f>
        <v>0</v>
      </c>
    </row>
    <row r="71" customFormat="false" ht="15" hidden="false" customHeight="false" outlineLevel="0" collapsed="false">
      <c r="A71" s="8"/>
      <c r="B71" s="8"/>
      <c r="C71" s="18" t="s">
        <v>23</v>
      </c>
      <c r="D71" s="9" t="n">
        <f aca="false">SUM(D11:D70)</f>
        <v>762868.84</v>
      </c>
      <c r="E71" s="8"/>
      <c r="F71" s="9" t="n">
        <f aca="false">SUM(F11:F70)</f>
        <v>3000000</v>
      </c>
      <c r="G71" s="8"/>
    </row>
    <row r="73" customFormat="false" ht="22.35" hidden="false" customHeight="true" outlineLevel="0" collapsed="false">
      <c r="A73" s="10" t="s">
        <v>24</v>
      </c>
      <c r="B73" s="10"/>
      <c r="C73" s="10"/>
      <c r="D73" s="10"/>
      <c r="E73" s="10"/>
      <c r="F73" s="10"/>
      <c r="G73" s="10"/>
    </row>
  </sheetData>
  <mergeCells count="2">
    <mergeCell ref="A1:G1"/>
    <mergeCell ref="A73:G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25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1" t="s">
        <v>2</v>
      </c>
      <c r="B3" s="12" t="s">
        <v>26</v>
      </c>
      <c r="D3" s="11" t="s">
        <v>3</v>
      </c>
      <c r="E3" s="13" t="n">
        <v>3750000</v>
      </c>
    </row>
    <row r="4" customFormat="false" ht="15" hidden="false" customHeight="false" outlineLevel="0" collapsed="false">
      <c r="A4" s="11" t="s">
        <v>11</v>
      </c>
      <c r="B4" s="12" t="n">
        <v>60</v>
      </c>
      <c r="D4" s="11" t="s">
        <v>12</v>
      </c>
      <c r="E4" s="14" t="n">
        <f aca="false">-D71</f>
        <v>-950721.65</v>
      </c>
    </row>
    <row r="5" customFormat="false" ht="15" hidden="false" customHeight="false" outlineLevel="0" collapsed="false">
      <c r="A5" s="11" t="s">
        <v>13</v>
      </c>
      <c r="B5" s="15" t="n">
        <v>0.0984</v>
      </c>
    </row>
    <row r="6" customFormat="false" ht="15" hidden="false" customHeight="false" outlineLevel="0" collapsed="false">
      <c r="D6" s="11" t="s">
        <v>27</v>
      </c>
      <c r="E6" s="19" t="n">
        <f aca="false">'Discounted Bills 1'!$E$3+'Discounted Bills 1'!$E$4</f>
        <v>2799278.35</v>
      </c>
    </row>
    <row r="7" customFormat="false" ht="15" hidden="false" customHeight="false" outlineLevel="0" collapsed="false">
      <c r="A7" s="11" t="s">
        <v>14</v>
      </c>
      <c r="B7" s="16" t="n">
        <v>44782</v>
      </c>
    </row>
    <row r="8" customFormat="false" ht="15" hidden="false" customHeight="false" outlineLevel="0" collapsed="false">
      <c r="A8" s="11" t="s">
        <v>15</v>
      </c>
      <c r="B8" s="16" t="n">
        <v>44812</v>
      </c>
    </row>
    <row r="10" customFormat="false" ht="26.85" hidden="false" customHeight="false" outlineLevel="0" collapsed="false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</row>
    <row r="11" customFormat="false" ht="15" hidden="false" customHeight="false" outlineLevel="0" collapsed="false">
      <c r="A11" s="5" t="n">
        <v>1</v>
      </c>
      <c r="B11" s="17" t="n">
        <f aca="false">'Discounted Bills 1'!$B$8</f>
        <v>44812</v>
      </c>
      <c r="C11" s="5" t="n">
        <f aca="false">B11-'Discounted Bills 1'!$B$7</f>
        <v>30</v>
      </c>
      <c r="D11" s="4" t="n">
        <f aca="false">ROUND(E11*'Discounted Bills 1'!$B$5*C11/360,2)</f>
        <v>30750</v>
      </c>
      <c r="E11" s="4" t="n">
        <f aca="false">'Discounted Bills 1'!$E$3</f>
        <v>3750000</v>
      </c>
      <c r="F11" s="4" t="n">
        <f aca="false">ROUND('Discounted Bills 1'!$E$3/'Discounted Bills 1'!$B$4,2)</f>
        <v>62500</v>
      </c>
      <c r="G11" s="4" t="n">
        <f aca="false">E11-F11</f>
        <v>3687500</v>
      </c>
    </row>
    <row r="12" customFormat="false" ht="15" hidden="false" customHeight="false" outlineLevel="0" collapsed="false">
      <c r="A12" s="5" t="n">
        <v>2</v>
      </c>
      <c r="B12" s="17" t="n">
        <f aca="false">EDATE(B11,1)</f>
        <v>44842</v>
      </c>
      <c r="C12" s="5" t="n">
        <f aca="false">B12-B11</f>
        <v>30</v>
      </c>
      <c r="D12" s="4" t="n">
        <f aca="false">ROUND(E12*'Discounted Bills 1'!$B$5*C12/360,2)</f>
        <v>30237.5</v>
      </c>
      <c r="E12" s="4" t="n">
        <f aca="false">G11</f>
        <v>3687500</v>
      </c>
      <c r="F12" s="4" t="n">
        <f aca="false">ROUND('Discounted Bills 1'!$E$3/'Discounted Bills 1'!$B$4,2)</f>
        <v>62500</v>
      </c>
      <c r="G12" s="4" t="n">
        <f aca="false">E12-F12</f>
        <v>3625000</v>
      </c>
    </row>
    <row r="13" customFormat="false" ht="15" hidden="false" customHeight="false" outlineLevel="0" collapsed="false">
      <c r="A13" s="5" t="n">
        <v>3</v>
      </c>
      <c r="B13" s="17" t="n">
        <f aca="false">EDATE(B12,1)</f>
        <v>44873</v>
      </c>
      <c r="C13" s="5" t="n">
        <f aca="false">B13-B12</f>
        <v>31</v>
      </c>
      <c r="D13" s="4" t="n">
        <f aca="false">ROUND(E13*'Discounted Bills 1'!$B$5*C13/360,2)</f>
        <v>30715.83</v>
      </c>
      <c r="E13" s="4" t="n">
        <f aca="false">G12</f>
        <v>3625000</v>
      </c>
      <c r="F13" s="4" t="n">
        <f aca="false">ROUND('Discounted Bills 1'!$E$3/'Discounted Bills 1'!$B$4,2)</f>
        <v>62500</v>
      </c>
      <c r="G13" s="4" t="n">
        <f aca="false">E13-F13</f>
        <v>3562500</v>
      </c>
    </row>
    <row r="14" customFormat="false" ht="15" hidden="false" customHeight="false" outlineLevel="0" collapsed="false">
      <c r="A14" s="5" t="n">
        <v>4</v>
      </c>
      <c r="B14" s="17" t="n">
        <f aca="false">EDATE(B13,1)</f>
        <v>44903</v>
      </c>
      <c r="C14" s="5" t="n">
        <f aca="false">B14-B13</f>
        <v>30</v>
      </c>
      <c r="D14" s="4" t="n">
        <f aca="false">ROUND(E14*'Discounted Bills 1'!$B$5*C14/360,2)</f>
        <v>29212.5</v>
      </c>
      <c r="E14" s="4" t="n">
        <f aca="false">G13</f>
        <v>3562500</v>
      </c>
      <c r="F14" s="4" t="n">
        <f aca="false">ROUND('Discounted Bills 1'!$E$3/'Discounted Bills 1'!$B$4,2)</f>
        <v>62500</v>
      </c>
      <c r="G14" s="4" t="n">
        <f aca="false">E14-F14</f>
        <v>3500000</v>
      </c>
    </row>
    <row r="15" customFormat="false" ht="15" hidden="false" customHeight="false" outlineLevel="0" collapsed="false">
      <c r="A15" s="5" t="n">
        <v>5</v>
      </c>
      <c r="B15" s="17" t="n">
        <f aca="false">EDATE(B14,1)</f>
        <v>44934</v>
      </c>
      <c r="C15" s="5" t="n">
        <f aca="false">B15-B14</f>
        <v>31</v>
      </c>
      <c r="D15" s="4" t="n">
        <f aca="false">ROUND(E15*'Discounted Bills 1'!$B$5*C15/360,2)</f>
        <v>29656.67</v>
      </c>
      <c r="E15" s="4" t="n">
        <f aca="false">G14</f>
        <v>3500000</v>
      </c>
      <c r="F15" s="4" t="n">
        <f aca="false">ROUND('Discounted Bills 1'!$E$3/'Discounted Bills 1'!$B$4,2)</f>
        <v>62500</v>
      </c>
      <c r="G15" s="4" t="n">
        <f aca="false">E15-F15</f>
        <v>3437500</v>
      </c>
    </row>
    <row r="16" customFormat="false" ht="15" hidden="false" customHeight="false" outlineLevel="0" collapsed="false">
      <c r="A16" s="5" t="n">
        <v>6</v>
      </c>
      <c r="B16" s="17" t="n">
        <f aca="false">EDATE(B15,1)</f>
        <v>44965</v>
      </c>
      <c r="C16" s="5" t="n">
        <f aca="false">B16-B15</f>
        <v>31</v>
      </c>
      <c r="D16" s="4" t="n">
        <f aca="false">ROUND(E16*'Discounted Bills 1'!$B$5*C16/360,2)</f>
        <v>29127.08</v>
      </c>
      <c r="E16" s="4" t="n">
        <f aca="false">G15</f>
        <v>3437500</v>
      </c>
      <c r="F16" s="4" t="n">
        <f aca="false">ROUND('Discounted Bills 1'!$E$3/'Discounted Bills 1'!$B$4,2)</f>
        <v>62500</v>
      </c>
      <c r="G16" s="4" t="n">
        <f aca="false">E16-F16</f>
        <v>3375000</v>
      </c>
    </row>
    <row r="17" customFormat="false" ht="15" hidden="false" customHeight="false" outlineLevel="0" collapsed="false">
      <c r="A17" s="5" t="n">
        <v>7</v>
      </c>
      <c r="B17" s="17" t="n">
        <f aca="false">EDATE(B16,1)</f>
        <v>44993</v>
      </c>
      <c r="C17" s="5" t="n">
        <f aca="false">B17-B16</f>
        <v>28</v>
      </c>
      <c r="D17" s="4" t="n">
        <f aca="false">ROUND(E17*'Discounted Bills 1'!$B$5*C17/360,2)</f>
        <v>25830</v>
      </c>
      <c r="E17" s="4" t="n">
        <f aca="false">G16</f>
        <v>3375000</v>
      </c>
      <c r="F17" s="4" t="n">
        <f aca="false">ROUND('Discounted Bills 1'!$E$3/'Discounted Bills 1'!$B$4,2)</f>
        <v>62500</v>
      </c>
      <c r="G17" s="4" t="n">
        <f aca="false">E17-F17</f>
        <v>3312500</v>
      </c>
    </row>
    <row r="18" customFormat="false" ht="15" hidden="false" customHeight="false" outlineLevel="0" collapsed="false">
      <c r="A18" s="5" t="n">
        <v>8</v>
      </c>
      <c r="B18" s="17" t="n">
        <f aca="false">EDATE(B17,1)</f>
        <v>45024</v>
      </c>
      <c r="C18" s="5" t="n">
        <f aca="false">B18-B17</f>
        <v>31</v>
      </c>
      <c r="D18" s="4" t="n">
        <f aca="false">ROUND(E18*'Discounted Bills 1'!$B$5*C18/360,2)</f>
        <v>28067.92</v>
      </c>
      <c r="E18" s="4" t="n">
        <f aca="false">G17</f>
        <v>3312500</v>
      </c>
      <c r="F18" s="4" t="n">
        <f aca="false">ROUND('Discounted Bills 1'!$E$3/'Discounted Bills 1'!$B$4,2)</f>
        <v>62500</v>
      </c>
      <c r="G18" s="4" t="n">
        <f aca="false">E18-F18</f>
        <v>3250000</v>
      </c>
    </row>
    <row r="19" customFormat="false" ht="15" hidden="false" customHeight="false" outlineLevel="0" collapsed="false">
      <c r="A19" s="5" t="n">
        <v>9</v>
      </c>
      <c r="B19" s="17" t="n">
        <f aca="false">EDATE(B18,1)</f>
        <v>45054</v>
      </c>
      <c r="C19" s="5" t="n">
        <f aca="false">B19-B18</f>
        <v>30</v>
      </c>
      <c r="D19" s="4" t="n">
        <f aca="false">ROUND(E19*'Discounted Bills 1'!$B$5*C19/360,2)</f>
        <v>26650</v>
      </c>
      <c r="E19" s="4" t="n">
        <f aca="false">G18</f>
        <v>3250000</v>
      </c>
      <c r="F19" s="4" t="n">
        <f aca="false">ROUND('Discounted Bills 1'!$E$3/'Discounted Bills 1'!$B$4,2)</f>
        <v>62500</v>
      </c>
      <c r="G19" s="4" t="n">
        <f aca="false">E19-F19</f>
        <v>3187500</v>
      </c>
    </row>
    <row r="20" customFormat="false" ht="15" hidden="false" customHeight="false" outlineLevel="0" collapsed="false">
      <c r="A20" s="5" t="n">
        <v>10</v>
      </c>
      <c r="B20" s="17" t="n">
        <f aca="false">EDATE(B19,1)</f>
        <v>45085</v>
      </c>
      <c r="C20" s="5" t="n">
        <f aca="false">B20-B19</f>
        <v>31</v>
      </c>
      <c r="D20" s="4" t="n">
        <f aca="false">ROUND(E20*'Discounted Bills 1'!$B$5*C20/360,2)</f>
        <v>27008.75</v>
      </c>
      <c r="E20" s="4" t="n">
        <f aca="false">G19</f>
        <v>3187500</v>
      </c>
      <c r="F20" s="4" t="n">
        <f aca="false">ROUND('Discounted Bills 1'!$E$3/'Discounted Bills 1'!$B$4,2)</f>
        <v>62500</v>
      </c>
      <c r="G20" s="4" t="n">
        <f aca="false">E20-F20</f>
        <v>3125000</v>
      </c>
    </row>
    <row r="21" customFormat="false" ht="15" hidden="false" customHeight="false" outlineLevel="0" collapsed="false">
      <c r="A21" s="5" t="n">
        <v>11</v>
      </c>
      <c r="B21" s="17" t="n">
        <f aca="false">EDATE(B20,1)</f>
        <v>45115</v>
      </c>
      <c r="C21" s="5" t="n">
        <f aca="false">B21-B20</f>
        <v>30</v>
      </c>
      <c r="D21" s="4" t="n">
        <f aca="false">ROUND(E21*'Discounted Bills 1'!$B$5*C21/360,2)</f>
        <v>25625</v>
      </c>
      <c r="E21" s="4" t="n">
        <f aca="false">G20</f>
        <v>3125000</v>
      </c>
      <c r="F21" s="4" t="n">
        <f aca="false">ROUND('Discounted Bills 1'!$E$3/'Discounted Bills 1'!$B$4,2)</f>
        <v>62500</v>
      </c>
      <c r="G21" s="4" t="n">
        <f aca="false">E21-F21</f>
        <v>3062500</v>
      </c>
    </row>
    <row r="22" customFormat="false" ht="15" hidden="false" customHeight="false" outlineLevel="0" collapsed="false">
      <c r="A22" s="5" t="n">
        <v>12</v>
      </c>
      <c r="B22" s="17" t="n">
        <f aca="false">EDATE(B21,1)</f>
        <v>45146</v>
      </c>
      <c r="C22" s="5" t="n">
        <f aca="false">B22-B21</f>
        <v>31</v>
      </c>
      <c r="D22" s="4" t="n">
        <f aca="false">ROUND(E22*'Discounted Bills 1'!$B$5*C22/360,2)</f>
        <v>25949.58</v>
      </c>
      <c r="E22" s="4" t="n">
        <f aca="false">G21</f>
        <v>3062500</v>
      </c>
      <c r="F22" s="4" t="n">
        <f aca="false">ROUND('Discounted Bills 1'!$E$3/'Discounted Bills 1'!$B$4,2)</f>
        <v>62500</v>
      </c>
      <c r="G22" s="4" t="n">
        <f aca="false">E22-F22</f>
        <v>3000000</v>
      </c>
    </row>
    <row r="23" customFormat="false" ht="15" hidden="false" customHeight="false" outlineLevel="0" collapsed="false">
      <c r="A23" s="5" t="n">
        <v>13</v>
      </c>
      <c r="B23" s="17" t="n">
        <f aca="false">EDATE(B22,1)</f>
        <v>45177</v>
      </c>
      <c r="C23" s="5" t="n">
        <f aca="false">B23-B22</f>
        <v>31</v>
      </c>
      <c r="D23" s="4" t="n">
        <f aca="false">ROUND(E23*'Discounted Bills 1'!$B$5*C23/360,2)</f>
        <v>25420</v>
      </c>
      <c r="E23" s="4" t="n">
        <f aca="false">G22</f>
        <v>3000000</v>
      </c>
      <c r="F23" s="4" t="n">
        <f aca="false">ROUND('Discounted Bills 1'!$E$3/'Discounted Bills 1'!$B$4,2)</f>
        <v>62500</v>
      </c>
      <c r="G23" s="4" t="n">
        <f aca="false">E23-F23</f>
        <v>2937500</v>
      </c>
    </row>
    <row r="24" customFormat="false" ht="15" hidden="false" customHeight="false" outlineLevel="0" collapsed="false">
      <c r="A24" s="5" t="n">
        <v>14</v>
      </c>
      <c r="B24" s="17" t="n">
        <f aca="false">EDATE(B23,1)</f>
        <v>45207</v>
      </c>
      <c r="C24" s="5" t="n">
        <f aca="false">B24-B23</f>
        <v>30</v>
      </c>
      <c r="D24" s="4" t="n">
        <f aca="false">ROUND(E24*'Discounted Bills 1'!$B$5*C24/360,2)</f>
        <v>24087.5</v>
      </c>
      <c r="E24" s="4" t="n">
        <f aca="false">G23</f>
        <v>2937500</v>
      </c>
      <c r="F24" s="4" t="n">
        <f aca="false">ROUND('Discounted Bills 1'!$E$3/'Discounted Bills 1'!$B$4,2)</f>
        <v>62500</v>
      </c>
      <c r="G24" s="4" t="n">
        <f aca="false">E24-F24</f>
        <v>2875000</v>
      </c>
    </row>
    <row r="25" customFormat="false" ht="15" hidden="false" customHeight="false" outlineLevel="0" collapsed="false">
      <c r="A25" s="5" t="n">
        <v>15</v>
      </c>
      <c r="B25" s="17" t="n">
        <f aca="false">EDATE(B24,1)</f>
        <v>45238</v>
      </c>
      <c r="C25" s="5" t="n">
        <f aca="false">B25-B24</f>
        <v>31</v>
      </c>
      <c r="D25" s="4" t="n">
        <f aca="false">ROUND(E25*'Discounted Bills 1'!$B$5*C25/360,2)</f>
        <v>24360.83</v>
      </c>
      <c r="E25" s="4" t="n">
        <f aca="false">G24</f>
        <v>2875000</v>
      </c>
      <c r="F25" s="4" t="n">
        <f aca="false">ROUND('Discounted Bills 1'!$E$3/'Discounted Bills 1'!$B$4,2)</f>
        <v>62500</v>
      </c>
      <c r="G25" s="4" t="n">
        <f aca="false">E25-F25</f>
        <v>2812500</v>
      </c>
    </row>
    <row r="26" customFormat="false" ht="15" hidden="false" customHeight="false" outlineLevel="0" collapsed="false">
      <c r="A26" s="5" t="n">
        <v>16</v>
      </c>
      <c r="B26" s="17" t="n">
        <f aca="false">EDATE(B25,1)</f>
        <v>45268</v>
      </c>
      <c r="C26" s="5" t="n">
        <f aca="false">B26-B25</f>
        <v>30</v>
      </c>
      <c r="D26" s="4" t="n">
        <f aca="false">ROUND(E26*'Discounted Bills 1'!$B$5*C26/360,2)</f>
        <v>23062.5</v>
      </c>
      <c r="E26" s="4" t="n">
        <f aca="false">G25</f>
        <v>2812500</v>
      </c>
      <c r="F26" s="4" t="n">
        <f aca="false">ROUND('Discounted Bills 1'!$E$3/'Discounted Bills 1'!$B$4,2)</f>
        <v>62500</v>
      </c>
      <c r="G26" s="4" t="n">
        <f aca="false">E26-F26</f>
        <v>2750000</v>
      </c>
    </row>
    <row r="27" customFormat="false" ht="15" hidden="false" customHeight="false" outlineLevel="0" collapsed="false">
      <c r="A27" s="5" t="n">
        <v>17</v>
      </c>
      <c r="B27" s="17" t="n">
        <f aca="false">EDATE(B26,1)</f>
        <v>45299</v>
      </c>
      <c r="C27" s="5" t="n">
        <f aca="false">B27-B26</f>
        <v>31</v>
      </c>
      <c r="D27" s="4" t="n">
        <f aca="false">ROUND(E27*'Discounted Bills 1'!$B$5*C27/360,2)</f>
        <v>23301.67</v>
      </c>
      <c r="E27" s="4" t="n">
        <f aca="false">G26</f>
        <v>2750000</v>
      </c>
      <c r="F27" s="4" t="n">
        <f aca="false">ROUND('Discounted Bills 1'!$E$3/'Discounted Bills 1'!$B$4,2)</f>
        <v>62500</v>
      </c>
      <c r="G27" s="4" t="n">
        <f aca="false">E27-F27</f>
        <v>2687500</v>
      </c>
    </row>
    <row r="28" customFormat="false" ht="15" hidden="false" customHeight="false" outlineLevel="0" collapsed="false">
      <c r="A28" s="5" t="n">
        <v>18</v>
      </c>
      <c r="B28" s="17" t="n">
        <f aca="false">EDATE(B27,1)</f>
        <v>45330</v>
      </c>
      <c r="C28" s="5" t="n">
        <f aca="false">B28-B27</f>
        <v>31</v>
      </c>
      <c r="D28" s="4" t="n">
        <f aca="false">ROUND(E28*'Discounted Bills 1'!$B$5*C28/360,2)</f>
        <v>22772.08</v>
      </c>
      <c r="E28" s="4" t="n">
        <f aca="false">G27</f>
        <v>2687500</v>
      </c>
      <c r="F28" s="4" t="n">
        <f aca="false">ROUND('Discounted Bills 1'!$E$3/'Discounted Bills 1'!$B$4,2)</f>
        <v>62500</v>
      </c>
      <c r="G28" s="4" t="n">
        <f aca="false">E28-F28</f>
        <v>2625000</v>
      </c>
    </row>
    <row r="29" customFormat="false" ht="15" hidden="false" customHeight="false" outlineLevel="0" collapsed="false">
      <c r="A29" s="5" t="n">
        <v>19</v>
      </c>
      <c r="B29" s="17" t="n">
        <f aca="false">EDATE(B28,1)</f>
        <v>45359</v>
      </c>
      <c r="C29" s="5" t="n">
        <f aca="false">B29-B28</f>
        <v>29</v>
      </c>
      <c r="D29" s="4" t="n">
        <f aca="false">ROUND(E29*'Discounted Bills 1'!$B$5*C29/360,2)</f>
        <v>20807.5</v>
      </c>
      <c r="E29" s="4" t="n">
        <f aca="false">G28</f>
        <v>2625000</v>
      </c>
      <c r="F29" s="4" t="n">
        <f aca="false">ROUND('Discounted Bills 1'!$E$3/'Discounted Bills 1'!$B$4,2)</f>
        <v>62500</v>
      </c>
      <c r="G29" s="4" t="n">
        <f aca="false">E29-F29</f>
        <v>2562500</v>
      </c>
    </row>
    <row r="30" customFormat="false" ht="15" hidden="false" customHeight="false" outlineLevel="0" collapsed="false">
      <c r="A30" s="5" t="n">
        <v>20</v>
      </c>
      <c r="B30" s="17" t="n">
        <f aca="false">EDATE(B29,1)</f>
        <v>45390</v>
      </c>
      <c r="C30" s="5" t="n">
        <f aca="false">B30-B29</f>
        <v>31</v>
      </c>
      <c r="D30" s="4" t="n">
        <f aca="false">ROUND(E30*'Discounted Bills 1'!$B$5*C30/360,2)</f>
        <v>21712.92</v>
      </c>
      <c r="E30" s="4" t="n">
        <f aca="false">G29</f>
        <v>2562500</v>
      </c>
      <c r="F30" s="4" t="n">
        <f aca="false">ROUND('Discounted Bills 1'!$E$3/'Discounted Bills 1'!$B$4,2)</f>
        <v>62500</v>
      </c>
      <c r="G30" s="4" t="n">
        <f aca="false">E30-F30</f>
        <v>2500000</v>
      </c>
    </row>
    <row r="31" customFormat="false" ht="15" hidden="false" customHeight="false" outlineLevel="0" collapsed="false">
      <c r="A31" s="5" t="n">
        <v>21</v>
      </c>
      <c r="B31" s="17" t="n">
        <f aca="false">EDATE(B30,1)</f>
        <v>45420</v>
      </c>
      <c r="C31" s="5" t="n">
        <f aca="false">B31-B30</f>
        <v>30</v>
      </c>
      <c r="D31" s="4" t="n">
        <f aca="false">ROUND(E31*'Discounted Bills 1'!$B$5*C31/360,2)</f>
        <v>20500</v>
      </c>
      <c r="E31" s="4" t="n">
        <f aca="false">G30</f>
        <v>2500000</v>
      </c>
      <c r="F31" s="4" t="n">
        <f aca="false">ROUND('Discounted Bills 1'!$E$3/'Discounted Bills 1'!$B$4,2)</f>
        <v>62500</v>
      </c>
      <c r="G31" s="4" t="n">
        <f aca="false">E31-F31</f>
        <v>2437500</v>
      </c>
    </row>
    <row r="32" customFormat="false" ht="15" hidden="false" customHeight="false" outlineLevel="0" collapsed="false">
      <c r="A32" s="5" t="n">
        <v>22</v>
      </c>
      <c r="B32" s="17" t="n">
        <f aca="false">EDATE(B31,1)</f>
        <v>45451</v>
      </c>
      <c r="C32" s="5" t="n">
        <f aca="false">B32-B31</f>
        <v>31</v>
      </c>
      <c r="D32" s="4" t="n">
        <f aca="false">ROUND(E32*'Discounted Bills 1'!$B$5*C32/360,2)</f>
        <v>20653.75</v>
      </c>
      <c r="E32" s="4" t="n">
        <f aca="false">G31</f>
        <v>2437500</v>
      </c>
      <c r="F32" s="4" t="n">
        <f aca="false">ROUND('Discounted Bills 1'!$E$3/'Discounted Bills 1'!$B$4,2)</f>
        <v>62500</v>
      </c>
      <c r="G32" s="4" t="n">
        <f aca="false">E32-F32</f>
        <v>2375000</v>
      </c>
    </row>
    <row r="33" customFormat="false" ht="15" hidden="false" customHeight="false" outlineLevel="0" collapsed="false">
      <c r="A33" s="5" t="n">
        <v>23</v>
      </c>
      <c r="B33" s="17" t="n">
        <f aca="false">EDATE(B32,1)</f>
        <v>45481</v>
      </c>
      <c r="C33" s="5" t="n">
        <f aca="false">B33-B32</f>
        <v>30</v>
      </c>
      <c r="D33" s="4" t="n">
        <f aca="false">ROUND(E33*'Discounted Bills 1'!$B$5*C33/360,2)</f>
        <v>19475</v>
      </c>
      <c r="E33" s="4" t="n">
        <f aca="false">G32</f>
        <v>2375000</v>
      </c>
      <c r="F33" s="4" t="n">
        <f aca="false">ROUND('Discounted Bills 1'!$E$3/'Discounted Bills 1'!$B$4,2)</f>
        <v>62500</v>
      </c>
      <c r="G33" s="4" t="n">
        <f aca="false">E33-F33</f>
        <v>2312500</v>
      </c>
    </row>
    <row r="34" customFormat="false" ht="15" hidden="false" customHeight="false" outlineLevel="0" collapsed="false">
      <c r="A34" s="5" t="n">
        <v>24</v>
      </c>
      <c r="B34" s="17" t="n">
        <f aca="false">EDATE(B33,1)</f>
        <v>45512</v>
      </c>
      <c r="C34" s="5" t="n">
        <f aca="false">B34-B33</f>
        <v>31</v>
      </c>
      <c r="D34" s="4" t="n">
        <f aca="false">ROUND(E34*'Discounted Bills 1'!$B$5*C34/360,2)</f>
        <v>19594.58</v>
      </c>
      <c r="E34" s="4" t="n">
        <f aca="false">G33</f>
        <v>2312500</v>
      </c>
      <c r="F34" s="4" t="n">
        <f aca="false">ROUND('Discounted Bills 1'!$E$3/'Discounted Bills 1'!$B$4,2)</f>
        <v>62500</v>
      </c>
      <c r="G34" s="4" t="n">
        <f aca="false">E34-F34</f>
        <v>2250000</v>
      </c>
    </row>
    <row r="35" customFormat="false" ht="15" hidden="false" customHeight="false" outlineLevel="0" collapsed="false">
      <c r="A35" s="5" t="n">
        <v>25</v>
      </c>
      <c r="B35" s="17" t="n">
        <f aca="false">EDATE(B34,1)</f>
        <v>45543</v>
      </c>
      <c r="C35" s="5" t="n">
        <f aca="false">B35-B34</f>
        <v>31</v>
      </c>
      <c r="D35" s="4" t="n">
        <f aca="false">ROUND(E35*'Discounted Bills 1'!$B$5*C35/360,2)</f>
        <v>19065</v>
      </c>
      <c r="E35" s="4" t="n">
        <f aca="false">G34</f>
        <v>2250000</v>
      </c>
      <c r="F35" s="4" t="n">
        <f aca="false">ROUND('Discounted Bills 1'!$E$3/'Discounted Bills 1'!$B$4,2)</f>
        <v>62500</v>
      </c>
      <c r="G35" s="4" t="n">
        <f aca="false">E35-F35</f>
        <v>2187500</v>
      </c>
    </row>
    <row r="36" customFormat="false" ht="15" hidden="false" customHeight="false" outlineLevel="0" collapsed="false">
      <c r="A36" s="5" t="n">
        <v>26</v>
      </c>
      <c r="B36" s="17" t="n">
        <f aca="false">EDATE(B35,1)</f>
        <v>45573</v>
      </c>
      <c r="C36" s="5" t="n">
        <f aca="false">B36-B35</f>
        <v>30</v>
      </c>
      <c r="D36" s="4" t="n">
        <f aca="false">ROUND(E36*'Discounted Bills 1'!$B$5*C36/360,2)</f>
        <v>17937.5</v>
      </c>
      <c r="E36" s="4" t="n">
        <f aca="false">G35</f>
        <v>2187500</v>
      </c>
      <c r="F36" s="4" t="n">
        <f aca="false">ROUND('Discounted Bills 1'!$E$3/'Discounted Bills 1'!$B$4,2)</f>
        <v>62500</v>
      </c>
      <c r="G36" s="4" t="n">
        <f aca="false">E36-F36</f>
        <v>2125000</v>
      </c>
    </row>
    <row r="37" customFormat="false" ht="15" hidden="false" customHeight="false" outlineLevel="0" collapsed="false">
      <c r="A37" s="5" t="n">
        <v>27</v>
      </c>
      <c r="B37" s="17" t="n">
        <f aca="false">EDATE(B36,1)</f>
        <v>45604</v>
      </c>
      <c r="C37" s="5" t="n">
        <f aca="false">B37-B36</f>
        <v>31</v>
      </c>
      <c r="D37" s="4" t="n">
        <f aca="false">ROUND(E37*'Discounted Bills 1'!$B$5*C37/360,2)</f>
        <v>18005.83</v>
      </c>
      <c r="E37" s="4" t="n">
        <f aca="false">G36</f>
        <v>2125000</v>
      </c>
      <c r="F37" s="4" t="n">
        <f aca="false">ROUND('Discounted Bills 1'!$E$3/'Discounted Bills 1'!$B$4,2)</f>
        <v>62500</v>
      </c>
      <c r="G37" s="4" t="n">
        <f aca="false">E37-F37</f>
        <v>2062500</v>
      </c>
    </row>
    <row r="38" customFormat="false" ht="15" hidden="false" customHeight="false" outlineLevel="0" collapsed="false">
      <c r="A38" s="5" t="n">
        <v>28</v>
      </c>
      <c r="B38" s="17" t="n">
        <f aca="false">EDATE(B37,1)</f>
        <v>45634</v>
      </c>
      <c r="C38" s="5" t="n">
        <f aca="false">B38-B37</f>
        <v>30</v>
      </c>
      <c r="D38" s="4" t="n">
        <f aca="false">ROUND(E38*'Discounted Bills 1'!$B$5*C38/360,2)</f>
        <v>16912.5</v>
      </c>
      <c r="E38" s="4" t="n">
        <f aca="false">G37</f>
        <v>2062500</v>
      </c>
      <c r="F38" s="4" t="n">
        <f aca="false">ROUND('Discounted Bills 1'!$E$3/'Discounted Bills 1'!$B$4,2)</f>
        <v>62500</v>
      </c>
      <c r="G38" s="4" t="n">
        <f aca="false">E38-F38</f>
        <v>2000000</v>
      </c>
    </row>
    <row r="39" customFormat="false" ht="15" hidden="false" customHeight="false" outlineLevel="0" collapsed="false">
      <c r="A39" s="5" t="n">
        <v>29</v>
      </c>
      <c r="B39" s="17" t="n">
        <f aca="false">EDATE(B38,1)</f>
        <v>45665</v>
      </c>
      <c r="C39" s="5" t="n">
        <f aca="false">B39-B38</f>
        <v>31</v>
      </c>
      <c r="D39" s="4" t="n">
        <f aca="false">ROUND(E39*'Discounted Bills 1'!$B$5*C39/360,2)</f>
        <v>16946.67</v>
      </c>
      <c r="E39" s="4" t="n">
        <f aca="false">G38</f>
        <v>2000000</v>
      </c>
      <c r="F39" s="4" t="n">
        <f aca="false">ROUND('Discounted Bills 1'!$E$3/'Discounted Bills 1'!$B$4,2)</f>
        <v>62500</v>
      </c>
      <c r="G39" s="4" t="n">
        <f aca="false">E39-F39</f>
        <v>1937500</v>
      </c>
    </row>
    <row r="40" customFormat="false" ht="15" hidden="false" customHeight="false" outlineLevel="0" collapsed="false">
      <c r="A40" s="5" t="n">
        <v>30</v>
      </c>
      <c r="B40" s="17" t="n">
        <f aca="false">EDATE(B39,1)</f>
        <v>45696</v>
      </c>
      <c r="C40" s="5" t="n">
        <f aca="false">B40-B39</f>
        <v>31</v>
      </c>
      <c r="D40" s="4" t="n">
        <f aca="false">ROUND(E40*'Discounted Bills 1'!$B$5*C40/360,2)</f>
        <v>16417.08</v>
      </c>
      <c r="E40" s="4" t="n">
        <f aca="false">G39</f>
        <v>1937500</v>
      </c>
      <c r="F40" s="4" t="n">
        <f aca="false">ROUND('Discounted Bills 1'!$E$3/'Discounted Bills 1'!$B$4,2)</f>
        <v>62500</v>
      </c>
      <c r="G40" s="4" t="n">
        <f aca="false">E40-F40</f>
        <v>1875000</v>
      </c>
    </row>
    <row r="41" customFormat="false" ht="15" hidden="false" customHeight="false" outlineLevel="0" collapsed="false">
      <c r="A41" s="5" t="n">
        <v>31</v>
      </c>
      <c r="B41" s="17" t="n">
        <f aca="false">EDATE(B40,1)</f>
        <v>45724</v>
      </c>
      <c r="C41" s="5" t="n">
        <f aca="false">B41-B40</f>
        <v>28</v>
      </c>
      <c r="D41" s="4" t="n">
        <f aca="false">ROUND(E41*'Discounted Bills 1'!$B$5*C41/360,2)</f>
        <v>14350</v>
      </c>
      <c r="E41" s="4" t="n">
        <f aca="false">G40</f>
        <v>1875000</v>
      </c>
      <c r="F41" s="4" t="n">
        <f aca="false">ROUND('Discounted Bills 1'!$E$3/'Discounted Bills 1'!$B$4,2)</f>
        <v>62500</v>
      </c>
      <c r="G41" s="4" t="n">
        <f aca="false">E41-F41</f>
        <v>1812500</v>
      </c>
    </row>
    <row r="42" customFormat="false" ht="15" hidden="false" customHeight="false" outlineLevel="0" collapsed="false">
      <c r="A42" s="5" t="n">
        <v>32</v>
      </c>
      <c r="B42" s="17" t="n">
        <f aca="false">EDATE(B41,1)</f>
        <v>45755</v>
      </c>
      <c r="C42" s="5" t="n">
        <f aca="false">B42-B41</f>
        <v>31</v>
      </c>
      <c r="D42" s="4" t="n">
        <f aca="false">ROUND(E42*'Discounted Bills 1'!$B$5*C42/360,2)</f>
        <v>15357.92</v>
      </c>
      <c r="E42" s="4" t="n">
        <f aca="false">G41</f>
        <v>1812500</v>
      </c>
      <c r="F42" s="4" t="n">
        <f aca="false">ROUND('Discounted Bills 1'!$E$3/'Discounted Bills 1'!$B$4,2)</f>
        <v>62500</v>
      </c>
      <c r="G42" s="4" t="n">
        <f aca="false">E42-F42</f>
        <v>1750000</v>
      </c>
    </row>
    <row r="43" customFormat="false" ht="15" hidden="false" customHeight="false" outlineLevel="0" collapsed="false">
      <c r="A43" s="5" t="n">
        <v>33</v>
      </c>
      <c r="B43" s="17" t="n">
        <f aca="false">EDATE(B42,1)</f>
        <v>45785</v>
      </c>
      <c r="C43" s="5" t="n">
        <f aca="false">B43-B42</f>
        <v>30</v>
      </c>
      <c r="D43" s="4" t="n">
        <f aca="false">ROUND(E43*'Discounted Bills 1'!$B$5*C43/360,2)</f>
        <v>14350</v>
      </c>
      <c r="E43" s="4" t="n">
        <f aca="false">G42</f>
        <v>1750000</v>
      </c>
      <c r="F43" s="4" t="n">
        <f aca="false">ROUND('Discounted Bills 1'!$E$3/'Discounted Bills 1'!$B$4,2)</f>
        <v>62500</v>
      </c>
      <c r="G43" s="4" t="n">
        <f aca="false">E43-F43</f>
        <v>1687500</v>
      </c>
    </row>
    <row r="44" customFormat="false" ht="15" hidden="false" customHeight="false" outlineLevel="0" collapsed="false">
      <c r="A44" s="5" t="n">
        <v>34</v>
      </c>
      <c r="B44" s="17" t="n">
        <f aca="false">EDATE(B43,1)</f>
        <v>45816</v>
      </c>
      <c r="C44" s="5" t="n">
        <f aca="false">B44-B43</f>
        <v>31</v>
      </c>
      <c r="D44" s="4" t="n">
        <f aca="false">ROUND(E44*'Discounted Bills 1'!$B$5*C44/360,2)</f>
        <v>14298.75</v>
      </c>
      <c r="E44" s="4" t="n">
        <f aca="false">G43</f>
        <v>1687500</v>
      </c>
      <c r="F44" s="4" t="n">
        <f aca="false">ROUND('Discounted Bills 1'!$E$3/'Discounted Bills 1'!$B$4,2)</f>
        <v>62500</v>
      </c>
      <c r="G44" s="4" t="n">
        <f aca="false">E44-F44</f>
        <v>1625000</v>
      </c>
    </row>
    <row r="45" customFormat="false" ht="15" hidden="false" customHeight="false" outlineLevel="0" collapsed="false">
      <c r="A45" s="5" t="n">
        <v>35</v>
      </c>
      <c r="B45" s="17" t="n">
        <f aca="false">EDATE(B44,1)</f>
        <v>45846</v>
      </c>
      <c r="C45" s="5" t="n">
        <f aca="false">B45-B44</f>
        <v>30</v>
      </c>
      <c r="D45" s="4" t="n">
        <f aca="false">ROUND(E45*'Discounted Bills 1'!$B$5*C45/360,2)</f>
        <v>13325</v>
      </c>
      <c r="E45" s="4" t="n">
        <f aca="false">G44</f>
        <v>1625000</v>
      </c>
      <c r="F45" s="4" t="n">
        <f aca="false">ROUND('Discounted Bills 1'!$E$3/'Discounted Bills 1'!$B$4,2)</f>
        <v>62500</v>
      </c>
      <c r="G45" s="4" t="n">
        <f aca="false">E45-F45</f>
        <v>1562500</v>
      </c>
    </row>
    <row r="46" customFormat="false" ht="15" hidden="false" customHeight="false" outlineLevel="0" collapsed="false">
      <c r="A46" s="5" t="n">
        <v>36</v>
      </c>
      <c r="B46" s="17" t="n">
        <f aca="false">EDATE(B45,1)</f>
        <v>45877</v>
      </c>
      <c r="C46" s="5" t="n">
        <f aca="false">B46-B45</f>
        <v>31</v>
      </c>
      <c r="D46" s="4" t="n">
        <f aca="false">ROUND(E46*'Discounted Bills 1'!$B$5*C46/360,2)</f>
        <v>13239.58</v>
      </c>
      <c r="E46" s="4" t="n">
        <f aca="false">G45</f>
        <v>1562500</v>
      </c>
      <c r="F46" s="4" t="n">
        <f aca="false">ROUND('Discounted Bills 1'!$E$3/'Discounted Bills 1'!$B$4,2)</f>
        <v>62500</v>
      </c>
      <c r="G46" s="4" t="n">
        <f aca="false">E46-F46</f>
        <v>1500000</v>
      </c>
    </row>
    <row r="47" customFormat="false" ht="15" hidden="false" customHeight="false" outlineLevel="0" collapsed="false">
      <c r="A47" s="5" t="n">
        <v>37</v>
      </c>
      <c r="B47" s="17" t="n">
        <f aca="false">EDATE(B46,1)</f>
        <v>45908</v>
      </c>
      <c r="C47" s="5" t="n">
        <f aca="false">B47-B46</f>
        <v>31</v>
      </c>
      <c r="D47" s="4" t="n">
        <f aca="false">ROUND(E47*'Discounted Bills 1'!$B$5*C47/360,2)</f>
        <v>12710</v>
      </c>
      <c r="E47" s="4" t="n">
        <f aca="false">G46</f>
        <v>1500000</v>
      </c>
      <c r="F47" s="4" t="n">
        <f aca="false">ROUND('Discounted Bills 1'!$E$3/'Discounted Bills 1'!$B$4,2)</f>
        <v>62500</v>
      </c>
      <c r="G47" s="4" t="n">
        <f aca="false">E47-F47</f>
        <v>1437500</v>
      </c>
    </row>
    <row r="48" customFormat="false" ht="15" hidden="false" customHeight="false" outlineLevel="0" collapsed="false">
      <c r="A48" s="5" t="n">
        <v>38</v>
      </c>
      <c r="B48" s="17" t="n">
        <f aca="false">EDATE(B47,1)</f>
        <v>45938</v>
      </c>
      <c r="C48" s="5" t="n">
        <f aca="false">B48-B47</f>
        <v>30</v>
      </c>
      <c r="D48" s="4" t="n">
        <f aca="false">ROUND(E48*'Discounted Bills 1'!$B$5*C48/360,2)</f>
        <v>11787.5</v>
      </c>
      <c r="E48" s="4" t="n">
        <f aca="false">G47</f>
        <v>1437500</v>
      </c>
      <c r="F48" s="4" t="n">
        <f aca="false">ROUND('Discounted Bills 1'!$E$3/'Discounted Bills 1'!$B$4,2)</f>
        <v>62500</v>
      </c>
      <c r="G48" s="4" t="n">
        <f aca="false">E48-F48</f>
        <v>1375000</v>
      </c>
    </row>
    <row r="49" customFormat="false" ht="15" hidden="false" customHeight="false" outlineLevel="0" collapsed="false">
      <c r="A49" s="5" t="n">
        <v>39</v>
      </c>
      <c r="B49" s="17" t="n">
        <f aca="false">EDATE(B48,1)</f>
        <v>45969</v>
      </c>
      <c r="C49" s="5" t="n">
        <f aca="false">B49-B48</f>
        <v>31</v>
      </c>
      <c r="D49" s="4" t="n">
        <f aca="false">ROUND(E49*'Discounted Bills 1'!$B$5*C49/360,2)</f>
        <v>11650.83</v>
      </c>
      <c r="E49" s="4" t="n">
        <f aca="false">G48</f>
        <v>1375000</v>
      </c>
      <c r="F49" s="4" t="n">
        <f aca="false">ROUND('Discounted Bills 1'!$E$3/'Discounted Bills 1'!$B$4,2)</f>
        <v>62500</v>
      </c>
      <c r="G49" s="4" t="n">
        <f aca="false">E49-F49</f>
        <v>1312500</v>
      </c>
    </row>
    <row r="50" customFormat="false" ht="15" hidden="false" customHeight="false" outlineLevel="0" collapsed="false">
      <c r="A50" s="5" t="n">
        <v>40</v>
      </c>
      <c r="B50" s="17" t="n">
        <f aca="false">EDATE(B49,1)</f>
        <v>45999</v>
      </c>
      <c r="C50" s="5" t="n">
        <f aca="false">B50-B49</f>
        <v>30</v>
      </c>
      <c r="D50" s="4" t="n">
        <f aca="false">ROUND(E50*'Discounted Bills 1'!$B$5*C50/360,2)</f>
        <v>10762.5</v>
      </c>
      <c r="E50" s="4" t="n">
        <f aca="false">G49</f>
        <v>1312500</v>
      </c>
      <c r="F50" s="4" t="n">
        <f aca="false">ROUND('Discounted Bills 1'!$E$3/'Discounted Bills 1'!$B$4,2)</f>
        <v>62500</v>
      </c>
      <c r="G50" s="4" t="n">
        <f aca="false">E50-F50</f>
        <v>1250000</v>
      </c>
    </row>
    <row r="51" customFormat="false" ht="15" hidden="false" customHeight="false" outlineLevel="0" collapsed="false">
      <c r="A51" s="5" t="n">
        <v>41</v>
      </c>
      <c r="B51" s="17" t="n">
        <f aca="false">EDATE(B50,1)</f>
        <v>46030</v>
      </c>
      <c r="C51" s="5" t="n">
        <f aca="false">B51-B50</f>
        <v>31</v>
      </c>
      <c r="D51" s="4" t="n">
        <f aca="false">ROUND(E51*'Discounted Bills 1'!$B$5*C51/360,2)</f>
        <v>10591.67</v>
      </c>
      <c r="E51" s="4" t="n">
        <f aca="false">G50</f>
        <v>1250000</v>
      </c>
      <c r="F51" s="4" t="n">
        <f aca="false">ROUND('Discounted Bills 1'!$E$3/'Discounted Bills 1'!$B$4,2)</f>
        <v>62500</v>
      </c>
      <c r="G51" s="4" t="n">
        <f aca="false">E51-F51</f>
        <v>1187500</v>
      </c>
    </row>
    <row r="52" customFormat="false" ht="15" hidden="false" customHeight="false" outlineLevel="0" collapsed="false">
      <c r="A52" s="5" t="n">
        <v>42</v>
      </c>
      <c r="B52" s="17" t="n">
        <f aca="false">EDATE(B51,1)</f>
        <v>46061</v>
      </c>
      <c r="C52" s="5" t="n">
        <f aca="false">B52-B51</f>
        <v>31</v>
      </c>
      <c r="D52" s="4" t="n">
        <f aca="false">ROUND(E52*'Discounted Bills 1'!$B$5*C52/360,2)</f>
        <v>10062.08</v>
      </c>
      <c r="E52" s="4" t="n">
        <f aca="false">G51</f>
        <v>1187500</v>
      </c>
      <c r="F52" s="4" t="n">
        <f aca="false">ROUND('Discounted Bills 1'!$E$3/'Discounted Bills 1'!$B$4,2)</f>
        <v>62500</v>
      </c>
      <c r="G52" s="4" t="n">
        <f aca="false">E52-F52</f>
        <v>1125000</v>
      </c>
    </row>
    <row r="53" customFormat="false" ht="15" hidden="false" customHeight="false" outlineLevel="0" collapsed="false">
      <c r="A53" s="5" t="n">
        <v>43</v>
      </c>
      <c r="B53" s="17" t="n">
        <f aca="false">EDATE(B52,1)</f>
        <v>46089</v>
      </c>
      <c r="C53" s="5" t="n">
        <f aca="false">B53-B52</f>
        <v>28</v>
      </c>
      <c r="D53" s="4" t="n">
        <f aca="false">ROUND(E53*'Discounted Bills 1'!$B$5*C53/360,2)</f>
        <v>8610</v>
      </c>
      <c r="E53" s="4" t="n">
        <f aca="false">G52</f>
        <v>1125000</v>
      </c>
      <c r="F53" s="4" t="n">
        <f aca="false">ROUND('Discounted Bills 1'!$E$3/'Discounted Bills 1'!$B$4,2)</f>
        <v>62500</v>
      </c>
      <c r="G53" s="4" t="n">
        <f aca="false">E53-F53</f>
        <v>1062500</v>
      </c>
    </row>
    <row r="54" customFormat="false" ht="15" hidden="false" customHeight="false" outlineLevel="0" collapsed="false">
      <c r="A54" s="5" t="n">
        <v>44</v>
      </c>
      <c r="B54" s="17" t="n">
        <f aca="false">EDATE(B53,1)</f>
        <v>46120</v>
      </c>
      <c r="C54" s="5" t="n">
        <f aca="false">B54-B53</f>
        <v>31</v>
      </c>
      <c r="D54" s="4" t="n">
        <f aca="false">ROUND(E54*'Discounted Bills 1'!$B$5*C54/360,2)</f>
        <v>9002.92</v>
      </c>
      <c r="E54" s="4" t="n">
        <f aca="false">G53</f>
        <v>1062500</v>
      </c>
      <c r="F54" s="4" t="n">
        <f aca="false">ROUND('Discounted Bills 1'!$E$3/'Discounted Bills 1'!$B$4,2)</f>
        <v>62500</v>
      </c>
      <c r="G54" s="4" t="n">
        <f aca="false">E54-F54</f>
        <v>1000000</v>
      </c>
    </row>
    <row r="55" customFormat="false" ht="15" hidden="false" customHeight="false" outlineLevel="0" collapsed="false">
      <c r="A55" s="5" t="n">
        <v>45</v>
      </c>
      <c r="B55" s="17" t="n">
        <f aca="false">EDATE(B54,1)</f>
        <v>46150</v>
      </c>
      <c r="C55" s="5" t="n">
        <f aca="false">B55-B54</f>
        <v>30</v>
      </c>
      <c r="D55" s="4" t="n">
        <f aca="false">ROUND(E55*'Discounted Bills 1'!$B$5*C55/360,2)</f>
        <v>8200</v>
      </c>
      <c r="E55" s="4" t="n">
        <f aca="false">G54</f>
        <v>1000000</v>
      </c>
      <c r="F55" s="4" t="n">
        <f aca="false">ROUND('Discounted Bills 1'!$E$3/'Discounted Bills 1'!$B$4,2)</f>
        <v>62500</v>
      </c>
      <c r="G55" s="4" t="n">
        <f aca="false">E55-F55</f>
        <v>937500</v>
      </c>
    </row>
    <row r="56" customFormat="false" ht="15" hidden="false" customHeight="false" outlineLevel="0" collapsed="false">
      <c r="A56" s="5" t="n">
        <v>46</v>
      </c>
      <c r="B56" s="17" t="n">
        <f aca="false">EDATE(B55,1)</f>
        <v>46181</v>
      </c>
      <c r="C56" s="5" t="n">
        <f aca="false">B56-B55</f>
        <v>31</v>
      </c>
      <c r="D56" s="4" t="n">
        <f aca="false">ROUND(E56*'Discounted Bills 1'!$B$5*C56/360,2)</f>
        <v>7943.75</v>
      </c>
      <c r="E56" s="4" t="n">
        <f aca="false">G55</f>
        <v>937500</v>
      </c>
      <c r="F56" s="4" t="n">
        <f aca="false">ROUND('Discounted Bills 1'!$E$3/'Discounted Bills 1'!$B$4,2)</f>
        <v>62500</v>
      </c>
      <c r="G56" s="4" t="n">
        <f aca="false">E56-F56</f>
        <v>875000</v>
      </c>
    </row>
    <row r="57" customFormat="false" ht="15" hidden="false" customHeight="false" outlineLevel="0" collapsed="false">
      <c r="A57" s="5" t="n">
        <v>47</v>
      </c>
      <c r="B57" s="17" t="n">
        <f aca="false">EDATE(B56,1)</f>
        <v>46211</v>
      </c>
      <c r="C57" s="5" t="n">
        <f aca="false">B57-B56</f>
        <v>30</v>
      </c>
      <c r="D57" s="4" t="n">
        <f aca="false">ROUND(E57*'Discounted Bills 1'!$B$5*C57/360,2)</f>
        <v>7175</v>
      </c>
      <c r="E57" s="4" t="n">
        <f aca="false">G56</f>
        <v>875000</v>
      </c>
      <c r="F57" s="4" t="n">
        <f aca="false">ROUND('Discounted Bills 1'!$E$3/'Discounted Bills 1'!$B$4,2)</f>
        <v>62500</v>
      </c>
      <c r="G57" s="4" t="n">
        <f aca="false">E57-F57</f>
        <v>812500</v>
      </c>
    </row>
    <row r="58" customFormat="false" ht="15" hidden="false" customHeight="false" outlineLevel="0" collapsed="false">
      <c r="A58" s="5" t="n">
        <v>48</v>
      </c>
      <c r="B58" s="17" t="n">
        <f aca="false">EDATE(B57,1)</f>
        <v>46242</v>
      </c>
      <c r="C58" s="5" t="n">
        <f aca="false">B58-B57</f>
        <v>31</v>
      </c>
      <c r="D58" s="4" t="n">
        <f aca="false">ROUND(E58*'Discounted Bills 1'!$B$5*C58/360,2)</f>
        <v>6884.58</v>
      </c>
      <c r="E58" s="4" t="n">
        <f aca="false">G57</f>
        <v>812500</v>
      </c>
      <c r="F58" s="4" t="n">
        <f aca="false">ROUND('Discounted Bills 1'!$E$3/'Discounted Bills 1'!$B$4,2)</f>
        <v>62500</v>
      </c>
      <c r="G58" s="4" t="n">
        <f aca="false">E58-F58</f>
        <v>750000</v>
      </c>
    </row>
    <row r="59" customFormat="false" ht="15" hidden="false" customHeight="false" outlineLevel="0" collapsed="false">
      <c r="A59" s="5" t="n">
        <v>49</v>
      </c>
      <c r="B59" s="17" t="n">
        <f aca="false">EDATE(B58,1)</f>
        <v>46273</v>
      </c>
      <c r="C59" s="5" t="n">
        <f aca="false">B59-B58</f>
        <v>31</v>
      </c>
      <c r="D59" s="4" t="n">
        <f aca="false">ROUND(E59*'Discounted Bills 1'!$B$5*C59/360,2)</f>
        <v>6355</v>
      </c>
      <c r="E59" s="4" t="n">
        <f aca="false">G58</f>
        <v>750000</v>
      </c>
      <c r="F59" s="4" t="n">
        <f aca="false">ROUND('Discounted Bills 1'!$E$3/'Discounted Bills 1'!$B$4,2)</f>
        <v>62500</v>
      </c>
      <c r="G59" s="4" t="n">
        <f aca="false">E59-F59</f>
        <v>687500</v>
      </c>
    </row>
    <row r="60" customFormat="false" ht="15" hidden="false" customHeight="false" outlineLevel="0" collapsed="false">
      <c r="A60" s="5" t="n">
        <v>50</v>
      </c>
      <c r="B60" s="17" t="n">
        <f aca="false">EDATE(B59,1)</f>
        <v>46303</v>
      </c>
      <c r="C60" s="5" t="n">
        <f aca="false">B60-B59</f>
        <v>30</v>
      </c>
      <c r="D60" s="4" t="n">
        <f aca="false">ROUND(E60*'Discounted Bills 1'!$B$5*C60/360,2)</f>
        <v>5637.5</v>
      </c>
      <c r="E60" s="4" t="n">
        <f aca="false">G59</f>
        <v>687500</v>
      </c>
      <c r="F60" s="4" t="n">
        <f aca="false">ROUND('Discounted Bills 1'!$E$3/'Discounted Bills 1'!$B$4,2)</f>
        <v>62500</v>
      </c>
      <c r="G60" s="4" t="n">
        <f aca="false">E60-F60</f>
        <v>625000</v>
      </c>
    </row>
    <row r="61" customFormat="false" ht="15" hidden="false" customHeight="false" outlineLevel="0" collapsed="false">
      <c r="A61" s="5" t="n">
        <v>51</v>
      </c>
      <c r="B61" s="17" t="n">
        <f aca="false">EDATE(B60,1)</f>
        <v>46334</v>
      </c>
      <c r="C61" s="5" t="n">
        <f aca="false">B61-B60</f>
        <v>31</v>
      </c>
      <c r="D61" s="4" t="n">
        <f aca="false">ROUND(E61*'Discounted Bills 1'!$B$5*C61/360,2)</f>
        <v>5295.83</v>
      </c>
      <c r="E61" s="4" t="n">
        <f aca="false">G60</f>
        <v>625000</v>
      </c>
      <c r="F61" s="4" t="n">
        <f aca="false">ROUND('Discounted Bills 1'!$E$3/'Discounted Bills 1'!$B$4,2)</f>
        <v>62500</v>
      </c>
      <c r="G61" s="4" t="n">
        <f aca="false">E61-F61</f>
        <v>562500</v>
      </c>
    </row>
    <row r="62" customFormat="false" ht="15" hidden="false" customHeight="false" outlineLevel="0" collapsed="false">
      <c r="A62" s="5" t="n">
        <v>52</v>
      </c>
      <c r="B62" s="17" t="n">
        <f aca="false">EDATE(B61,1)</f>
        <v>46364</v>
      </c>
      <c r="C62" s="5" t="n">
        <f aca="false">B62-B61</f>
        <v>30</v>
      </c>
      <c r="D62" s="4" t="n">
        <f aca="false">ROUND(E62*'Discounted Bills 1'!$B$5*C62/360,2)</f>
        <v>4612.5</v>
      </c>
      <c r="E62" s="4" t="n">
        <f aca="false">G61</f>
        <v>562500</v>
      </c>
      <c r="F62" s="4" t="n">
        <f aca="false">ROUND('Discounted Bills 1'!$E$3/'Discounted Bills 1'!$B$4,2)</f>
        <v>62500</v>
      </c>
      <c r="G62" s="4" t="n">
        <f aca="false">E62-F62</f>
        <v>500000</v>
      </c>
    </row>
    <row r="63" customFormat="false" ht="15" hidden="false" customHeight="false" outlineLevel="0" collapsed="false">
      <c r="A63" s="5" t="n">
        <v>53</v>
      </c>
      <c r="B63" s="17" t="n">
        <f aca="false">EDATE(B62,1)</f>
        <v>46395</v>
      </c>
      <c r="C63" s="5" t="n">
        <f aca="false">B63-B62</f>
        <v>31</v>
      </c>
      <c r="D63" s="4" t="n">
        <f aca="false">ROUND(E63*'Discounted Bills 1'!$B$5*C63/360,2)</f>
        <v>4236.67</v>
      </c>
      <c r="E63" s="4" t="n">
        <f aca="false">G62</f>
        <v>500000</v>
      </c>
      <c r="F63" s="4" t="n">
        <f aca="false">ROUND('Discounted Bills 1'!$E$3/'Discounted Bills 1'!$B$4,2)</f>
        <v>62500</v>
      </c>
      <c r="G63" s="4" t="n">
        <f aca="false">E63-F63</f>
        <v>437500</v>
      </c>
    </row>
    <row r="64" customFormat="false" ht="15" hidden="false" customHeight="false" outlineLevel="0" collapsed="false">
      <c r="A64" s="5" t="n">
        <v>54</v>
      </c>
      <c r="B64" s="17" t="n">
        <f aca="false">EDATE(B63,1)</f>
        <v>46426</v>
      </c>
      <c r="C64" s="5" t="n">
        <f aca="false">B64-B63</f>
        <v>31</v>
      </c>
      <c r="D64" s="4" t="n">
        <f aca="false">ROUND(E64*'Discounted Bills 1'!$B$5*C64/360,2)</f>
        <v>3707.08</v>
      </c>
      <c r="E64" s="4" t="n">
        <f aca="false">G63</f>
        <v>437500</v>
      </c>
      <c r="F64" s="4" t="n">
        <f aca="false">ROUND('Discounted Bills 1'!$E$3/'Discounted Bills 1'!$B$4,2)</f>
        <v>62500</v>
      </c>
      <c r="G64" s="4" t="n">
        <f aca="false">E64-F64</f>
        <v>375000</v>
      </c>
    </row>
    <row r="65" customFormat="false" ht="15" hidden="false" customHeight="false" outlineLevel="0" collapsed="false">
      <c r="A65" s="5" t="n">
        <v>55</v>
      </c>
      <c r="B65" s="17" t="n">
        <f aca="false">EDATE(B64,1)</f>
        <v>46454</v>
      </c>
      <c r="C65" s="5" t="n">
        <f aca="false">B65-B64</f>
        <v>28</v>
      </c>
      <c r="D65" s="4" t="n">
        <f aca="false">ROUND(E65*'Discounted Bills 1'!$B$5*C65/360,2)</f>
        <v>2870</v>
      </c>
      <c r="E65" s="4" t="n">
        <f aca="false">G64</f>
        <v>375000</v>
      </c>
      <c r="F65" s="4" t="n">
        <f aca="false">ROUND('Discounted Bills 1'!$E$3/'Discounted Bills 1'!$B$4,2)</f>
        <v>62500</v>
      </c>
      <c r="G65" s="4" t="n">
        <f aca="false">E65-F65</f>
        <v>312500</v>
      </c>
    </row>
    <row r="66" customFormat="false" ht="15" hidden="false" customHeight="false" outlineLevel="0" collapsed="false">
      <c r="A66" s="5" t="n">
        <v>56</v>
      </c>
      <c r="B66" s="17" t="n">
        <f aca="false">EDATE(B65,1)</f>
        <v>46485</v>
      </c>
      <c r="C66" s="5" t="n">
        <f aca="false">B66-B65</f>
        <v>31</v>
      </c>
      <c r="D66" s="4" t="n">
        <f aca="false">ROUND(E66*'Discounted Bills 1'!$B$5*C66/360,2)</f>
        <v>2647.92</v>
      </c>
      <c r="E66" s="4" t="n">
        <f aca="false">G65</f>
        <v>312500</v>
      </c>
      <c r="F66" s="4" t="n">
        <f aca="false">ROUND('Discounted Bills 1'!$E$3/'Discounted Bills 1'!$B$4,2)</f>
        <v>62500</v>
      </c>
      <c r="G66" s="4" t="n">
        <f aca="false">E66-F66</f>
        <v>250000</v>
      </c>
    </row>
    <row r="67" customFormat="false" ht="15" hidden="false" customHeight="false" outlineLevel="0" collapsed="false">
      <c r="A67" s="5" t="n">
        <v>57</v>
      </c>
      <c r="B67" s="17" t="n">
        <f aca="false">EDATE(B66,1)</f>
        <v>46515</v>
      </c>
      <c r="C67" s="5" t="n">
        <f aca="false">B67-B66</f>
        <v>30</v>
      </c>
      <c r="D67" s="4" t="n">
        <f aca="false">ROUND(E67*'Discounted Bills 1'!$B$5*C67/360,2)</f>
        <v>2050</v>
      </c>
      <c r="E67" s="4" t="n">
        <f aca="false">G66</f>
        <v>250000</v>
      </c>
      <c r="F67" s="4" t="n">
        <f aca="false">ROUND('Discounted Bills 1'!$E$3/'Discounted Bills 1'!$B$4,2)</f>
        <v>62500</v>
      </c>
      <c r="G67" s="4" t="n">
        <f aca="false">E67-F67</f>
        <v>187500</v>
      </c>
    </row>
    <row r="68" customFormat="false" ht="15" hidden="false" customHeight="false" outlineLevel="0" collapsed="false">
      <c r="A68" s="5" t="n">
        <v>58</v>
      </c>
      <c r="B68" s="17" t="n">
        <f aca="false">EDATE(B67,1)</f>
        <v>46546</v>
      </c>
      <c r="C68" s="5" t="n">
        <f aca="false">B68-B67</f>
        <v>31</v>
      </c>
      <c r="D68" s="4" t="n">
        <f aca="false">ROUND(E68*'Discounted Bills 1'!$B$5*C68/360,2)</f>
        <v>1588.75</v>
      </c>
      <c r="E68" s="4" t="n">
        <f aca="false">G67</f>
        <v>187500</v>
      </c>
      <c r="F68" s="4" t="n">
        <f aca="false">ROUND('Discounted Bills 1'!$E$3/'Discounted Bills 1'!$B$4,2)</f>
        <v>62500</v>
      </c>
      <c r="G68" s="4" t="n">
        <f aca="false">E68-F68</f>
        <v>125000</v>
      </c>
    </row>
    <row r="69" customFormat="false" ht="15" hidden="false" customHeight="false" outlineLevel="0" collapsed="false">
      <c r="A69" s="5" t="n">
        <v>59</v>
      </c>
      <c r="B69" s="17" t="n">
        <f aca="false">EDATE(B68,1)</f>
        <v>46576</v>
      </c>
      <c r="C69" s="5" t="n">
        <f aca="false">B69-B68</f>
        <v>30</v>
      </c>
      <c r="D69" s="4" t="n">
        <f aca="false">ROUND(E69*'Discounted Bills 1'!$B$5*C69/360,2)</f>
        <v>1025</v>
      </c>
      <c r="E69" s="4" t="n">
        <f aca="false">G68</f>
        <v>125000</v>
      </c>
      <c r="F69" s="4" t="n">
        <f aca="false">ROUND('Discounted Bills 1'!$E$3/'Discounted Bills 1'!$B$4,2)</f>
        <v>62500</v>
      </c>
      <c r="G69" s="4" t="n">
        <f aca="false">E69-F69</f>
        <v>62500</v>
      </c>
    </row>
    <row r="70" customFormat="false" ht="15" hidden="false" customHeight="false" outlineLevel="0" collapsed="false">
      <c r="A70" s="5" t="n">
        <v>60</v>
      </c>
      <c r="B70" s="17" t="n">
        <f aca="false">EDATE(B69,1)</f>
        <v>46607</v>
      </c>
      <c r="C70" s="5" t="n">
        <f aca="false">B70-B69</f>
        <v>31</v>
      </c>
      <c r="D70" s="4" t="n">
        <f aca="false">ROUND(E70*'Discounted Bills 1'!$B$5*C70/360,2)</f>
        <v>529.58</v>
      </c>
      <c r="E70" s="4" t="n">
        <f aca="false">G69</f>
        <v>62500</v>
      </c>
      <c r="F70" s="4" t="n">
        <f aca="false">E70</f>
        <v>62500</v>
      </c>
      <c r="G70" s="4" t="n">
        <f aca="false">E70-F70</f>
        <v>0</v>
      </c>
    </row>
    <row r="71" customFormat="false" ht="15" hidden="false" customHeight="false" outlineLevel="0" collapsed="false">
      <c r="A71" s="8"/>
      <c r="B71" s="8"/>
      <c r="C71" s="18" t="s">
        <v>23</v>
      </c>
      <c r="D71" s="9" t="n">
        <f aca="false">SUM(D11:D70)</f>
        <v>950721.65</v>
      </c>
      <c r="E71" s="8"/>
      <c r="F71" s="9" t="n">
        <f aca="false">SUM(F11:F70)</f>
        <v>3750000</v>
      </c>
      <c r="G71" s="8"/>
    </row>
    <row r="73" customFormat="false" ht="22.35" hidden="false" customHeight="true" outlineLevel="0" collapsed="false">
      <c r="A73" s="10" t="s">
        <v>24</v>
      </c>
      <c r="B73" s="10"/>
      <c r="C73" s="10"/>
      <c r="D73" s="10"/>
      <c r="E73" s="10"/>
      <c r="F73" s="10"/>
      <c r="G73" s="10"/>
    </row>
  </sheetData>
  <mergeCells count="2">
    <mergeCell ref="A1:G1"/>
    <mergeCell ref="A73:G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28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1" t="s">
        <v>2</v>
      </c>
      <c r="B3" s="12" t="s">
        <v>29</v>
      </c>
      <c r="D3" s="11" t="s">
        <v>3</v>
      </c>
      <c r="E3" s="13" t="n">
        <v>2500000</v>
      </c>
    </row>
    <row r="4" customFormat="false" ht="15" hidden="false" customHeight="false" outlineLevel="0" collapsed="false">
      <c r="A4" s="11" t="s">
        <v>11</v>
      </c>
      <c r="B4" s="12" t="n">
        <v>60</v>
      </c>
      <c r="D4" s="11" t="s">
        <v>12</v>
      </c>
      <c r="E4" s="14" t="n">
        <f aca="false">-D71</f>
        <v>-634110.51</v>
      </c>
    </row>
    <row r="5" customFormat="false" ht="15" hidden="false" customHeight="false" outlineLevel="0" collapsed="false">
      <c r="A5" s="11" t="s">
        <v>13</v>
      </c>
      <c r="B5" s="15" t="n">
        <v>0.0984</v>
      </c>
    </row>
    <row r="6" customFormat="false" ht="15" hidden="false" customHeight="false" outlineLevel="0" collapsed="false">
      <c r="D6" s="11" t="s">
        <v>27</v>
      </c>
      <c r="E6" s="19" t="n">
        <f aca="false">'Discounted Bills 2'!$E$3+'Discounted Bills 2'!$E$4</f>
        <v>1865889.49</v>
      </c>
    </row>
    <row r="7" customFormat="false" ht="15" hidden="false" customHeight="false" outlineLevel="0" collapsed="false">
      <c r="A7" s="11" t="s">
        <v>14</v>
      </c>
      <c r="B7" s="16" t="n">
        <v>44818</v>
      </c>
    </row>
    <row r="8" customFormat="false" ht="15" hidden="false" customHeight="false" outlineLevel="0" collapsed="false">
      <c r="A8" s="11" t="s">
        <v>15</v>
      </c>
      <c r="B8" s="16" t="n">
        <v>44848</v>
      </c>
    </row>
    <row r="10" customFormat="false" ht="26.85" hidden="false" customHeight="false" outlineLevel="0" collapsed="false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</row>
    <row r="11" customFormat="false" ht="15" hidden="false" customHeight="false" outlineLevel="0" collapsed="false">
      <c r="A11" s="5" t="n">
        <v>1</v>
      </c>
      <c r="B11" s="17" t="n">
        <f aca="false">'Discounted Bills 2'!$B$8</f>
        <v>44848</v>
      </c>
      <c r="C11" s="5" t="n">
        <f aca="false">B11-'Discounted Bills 2'!$B$7</f>
        <v>30</v>
      </c>
      <c r="D11" s="4" t="n">
        <f aca="false">ROUND(E11*'Discounted Bills 2'!$B$5*C11/360,2)</f>
        <v>20500</v>
      </c>
      <c r="E11" s="4" t="n">
        <f aca="false">'Discounted Bills 2'!$E$3</f>
        <v>2500000</v>
      </c>
      <c r="F11" s="4" t="n">
        <f aca="false">ROUND('Discounted Bills 2'!$E$3/'Discounted Bills 2'!$B$4,2)</f>
        <v>41666.67</v>
      </c>
      <c r="G11" s="4" t="n">
        <f aca="false">E11-F11</f>
        <v>2458333.33</v>
      </c>
    </row>
    <row r="12" customFormat="false" ht="15" hidden="false" customHeight="false" outlineLevel="0" collapsed="false">
      <c r="A12" s="5" t="n">
        <v>2</v>
      </c>
      <c r="B12" s="17" t="n">
        <f aca="false">EDATE(B11,1)</f>
        <v>44879</v>
      </c>
      <c r="C12" s="5" t="n">
        <f aca="false">B12-B11</f>
        <v>31</v>
      </c>
      <c r="D12" s="4" t="n">
        <f aca="false">ROUND(E12*'Discounted Bills 2'!$B$5*C12/360,2)</f>
        <v>20830.28</v>
      </c>
      <c r="E12" s="4" t="n">
        <f aca="false">G11</f>
        <v>2458333.33</v>
      </c>
      <c r="F12" s="4" t="n">
        <f aca="false">ROUND('Discounted Bills 2'!$E$3/'Discounted Bills 2'!$B$4,2)</f>
        <v>41666.67</v>
      </c>
      <c r="G12" s="4" t="n">
        <f aca="false">E12-F12</f>
        <v>2416666.66</v>
      </c>
    </row>
    <row r="13" customFormat="false" ht="15" hidden="false" customHeight="false" outlineLevel="0" collapsed="false">
      <c r="A13" s="5" t="n">
        <v>3</v>
      </c>
      <c r="B13" s="17" t="n">
        <f aca="false">EDATE(B12,1)</f>
        <v>44909</v>
      </c>
      <c r="C13" s="5" t="n">
        <f aca="false">B13-B12</f>
        <v>30</v>
      </c>
      <c r="D13" s="4" t="n">
        <f aca="false">ROUND(E13*'Discounted Bills 2'!$B$5*C13/360,2)</f>
        <v>19816.67</v>
      </c>
      <c r="E13" s="4" t="n">
        <f aca="false">G12</f>
        <v>2416666.66</v>
      </c>
      <c r="F13" s="4" t="n">
        <f aca="false">ROUND('Discounted Bills 2'!$E$3/'Discounted Bills 2'!$B$4,2)</f>
        <v>41666.67</v>
      </c>
      <c r="G13" s="4" t="n">
        <f aca="false">E13-F13</f>
        <v>2374999.99</v>
      </c>
    </row>
    <row r="14" customFormat="false" ht="15" hidden="false" customHeight="false" outlineLevel="0" collapsed="false">
      <c r="A14" s="5" t="n">
        <v>4</v>
      </c>
      <c r="B14" s="17" t="n">
        <f aca="false">EDATE(B13,1)</f>
        <v>44940</v>
      </c>
      <c r="C14" s="5" t="n">
        <f aca="false">B14-B13</f>
        <v>31</v>
      </c>
      <c r="D14" s="4" t="n">
        <f aca="false">ROUND(E14*'Discounted Bills 2'!$B$5*C14/360,2)</f>
        <v>20124.17</v>
      </c>
      <c r="E14" s="4" t="n">
        <f aca="false">G13</f>
        <v>2374999.99</v>
      </c>
      <c r="F14" s="4" t="n">
        <f aca="false">ROUND('Discounted Bills 2'!$E$3/'Discounted Bills 2'!$B$4,2)</f>
        <v>41666.67</v>
      </c>
      <c r="G14" s="4" t="n">
        <f aca="false">E14-F14</f>
        <v>2333333.32</v>
      </c>
    </row>
    <row r="15" customFormat="false" ht="15" hidden="false" customHeight="false" outlineLevel="0" collapsed="false">
      <c r="A15" s="5" t="n">
        <v>5</v>
      </c>
      <c r="B15" s="17" t="n">
        <f aca="false">EDATE(B14,1)</f>
        <v>44971</v>
      </c>
      <c r="C15" s="5" t="n">
        <f aca="false">B15-B14</f>
        <v>31</v>
      </c>
      <c r="D15" s="4" t="n">
        <f aca="false">ROUND(E15*'Discounted Bills 2'!$B$5*C15/360,2)</f>
        <v>19771.11</v>
      </c>
      <c r="E15" s="4" t="n">
        <f aca="false">G14</f>
        <v>2333333.32</v>
      </c>
      <c r="F15" s="4" t="n">
        <f aca="false">ROUND('Discounted Bills 2'!$E$3/'Discounted Bills 2'!$B$4,2)</f>
        <v>41666.67</v>
      </c>
      <c r="G15" s="4" t="n">
        <f aca="false">E15-F15</f>
        <v>2291666.65</v>
      </c>
    </row>
    <row r="16" customFormat="false" ht="15" hidden="false" customHeight="false" outlineLevel="0" collapsed="false">
      <c r="A16" s="5" t="n">
        <v>6</v>
      </c>
      <c r="B16" s="17" t="n">
        <f aca="false">EDATE(B15,1)</f>
        <v>44999</v>
      </c>
      <c r="C16" s="5" t="n">
        <f aca="false">B16-B15</f>
        <v>28</v>
      </c>
      <c r="D16" s="4" t="n">
        <f aca="false">ROUND(E16*'Discounted Bills 2'!$B$5*C16/360,2)</f>
        <v>17538.89</v>
      </c>
      <c r="E16" s="4" t="n">
        <f aca="false">G15</f>
        <v>2291666.65</v>
      </c>
      <c r="F16" s="4" t="n">
        <f aca="false">ROUND('Discounted Bills 2'!$E$3/'Discounted Bills 2'!$B$4,2)</f>
        <v>41666.67</v>
      </c>
      <c r="G16" s="4" t="n">
        <f aca="false">E16-F16</f>
        <v>2249999.98</v>
      </c>
    </row>
    <row r="17" customFormat="false" ht="15" hidden="false" customHeight="false" outlineLevel="0" collapsed="false">
      <c r="A17" s="5" t="n">
        <v>7</v>
      </c>
      <c r="B17" s="17" t="n">
        <f aca="false">EDATE(B16,1)</f>
        <v>45030</v>
      </c>
      <c r="C17" s="5" t="n">
        <f aca="false">B17-B16</f>
        <v>31</v>
      </c>
      <c r="D17" s="4" t="n">
        <f aca="false">ROUND(E17*'Discounted Bills 2'!$B$5*C17/360,2)</f>
        <v>19065</v>
      </c>
      <c r="E17" s="4" t="n">
        <f aca="false">G16</f>
        <v>2249999.98</v>
      </c>
      <c r="F17" s="4" t="n">
        <f aca="false">ROUND('Discounted Bills 2'!$E$3/'Discounted Bills 2'!$B$4,2)</f>
        <v>41666.67</v>
      </c>
      <c r="G17" s="4" t="n">
        <f aca="false">E17-F17</f>
        <v>2208333.31</v>
      </c>
    </row>
    <row r="18" customFormat="false" ht="15" hidden="false" customHeight="false" outlineLevel="0" collapsed="false">
      <c r="A18" s="5" t="n">
        <v>8</v>
      </c>
      <c r="B18" s="17" t="n">
        <f aca="false">EDATE(B17,1)</f>
        <v>45060</v>
      </c>
      <c r="C18" s="5" t="n">
        <f aca="false">B18-B17</f>
        <v>30</v>
      </c>
      <c r="D18" s="4" t="n">
        <f aca="false">ROUND(E18*'Discounted Bills 2'!$B$5*C18/360,2)</f>
        <v>18108.33</v>
      </c>
      <c r="E18" s="4" t="n">
        <f aca="false">G17</f>
        <v>2208333.31</v>
      </c>
      <c r="F18" s="4" t="n">
        <f aca="false">ROUND('Discounted Bills 2'!$E$3/'Discounted Bills 2'!$B$4,2)</f>
        <v>41666.67</v>
      </c>
      <c r="G18" s="4" t="n">
        <f aca="false">E18-F18</f>
        <v>2166666.64</v>
      </c>
    </row>
    <row r="19" customFormat="false" ht="15" hidden="false" customHeight="false" outlineLevel="0" collapsed="false">
      <c r="A19" s="5" t="n">
        <v>9</v>
      </c>
      <c r="B19" s="17" t="n">
        <f aca="false">EDATE(B18,1)</f>
        <v>45091</v>
      </c>
      <c r="C19" s="5" t="n">
        <f aca="false">B19-B18</f>
        <v>31</v>
      </c>
      <c r="D19" s="4" t="n">
        <f aca="false">ROUND(E19*'Discounted Bills 2'!$B$5*C19/360,2)</f>
        <v>18358.89</v>
      </c>
      <c r="E19" s="4" t="n">
        <f aca="false">G18</f>
        <v>2166666.64</v>
      </c>
      <c r="F19" s="4" t="n">
        <f aca="false">ROUND('Discounted Bills 2'!$E$3/'Discounted Bills 2'!$B$4,2)</f>
        <v>41666.67</v>
      </c>
      <c r="G19" s="4" t="n">
        <f aca="false">E19-F19</f>
        <v>2124999.97</v>
      </c>
    </row>
    <row r="20" customFormat="false" ht="15" hidden="false" customHeight="false" outlineLevel="0" collapsed="false">
      <c r="A20" s="5" t="n">
        <v>10</v>
      </c>
      <c r="B20" s="17" t="n">
        <f aca="false">EDATE(B19,1)</f>
        <v>45121</v>
      </c>
      <c r="C20" s="5" t="n">
        <f aca="false">B20-B19</f>
        <v>30</v>
      </c>
      <c r="D20" s="4" t="n">
        <f aca="false">ROUND(E20*'Discounted Bills 2'!$B$5*C20/360,2)</f>
        <v>17425</v>
      </c>
      <c r="E20" s="4" t="n">
        <f aca="false">G19</f>
        <v>2124999.97</v>
      </c>
      <c r="F20" s="4" t="n">
        <f aca="false">ROUND('Discounted Bills 2'!$E$3/'Discounted Bills 2'!$B$4,2)</f>
        <v>41666.67</v>
      </c>
      <c r="G20" s="4" t="n">
        <f aca="false">E20-F20</f>
        <v>2083333.3</v>
      </c>
    </row>
    <row r="21" customFormat="false" ht="15" hidden="false" customHeight="false" outlineLevel="0" collapsed="false">
      <c r="A21" s="5" t="n">
        <v>11</v>
      </c>
      <c r="B21" s="17" t="n">
        <f aca="false">EDATE(B20,1)</f>
        <v>45152</v>
      </c>
      <c r="C21" s="5" t="n">
        <f aca="false">B21-B20</f>
        <v>31</v>
      </c>
      <c r="D21" s="4" t="n">
        <f aca="false">ROUND(E21*'Discounted Bills 2'!$B$5*C21/360,2)</f>
        <v>17652.78</v>
      </c>
      <c r="E21" s="4" t="n">
        <f aca="false">G20</f>
        <v>2083333.3</v>
      </c>
      <c r="F21" s="4" t="n">
        <f aca="false">ROUND('Discounted Bills 2'!$E$3/'Discounted Bills 2'!$B$4,2)</f>
        <v>41666.67</v>
      </c>
      <c r="G21" s="4" t="n">
        <f aca="false">E21-F21</f>
        <v>2041666.63</v>
      </c>
    </row>
    <row r="22" customFormat="false" ht="15" hidden="false" customHeight="false" outlineLevel="0" collapsed="false">
      <c r="A22" s="5" t="n">
        <v>12</v>
      </c>
      <c r="B22" s="17" t="n">
        <f aca="false">EDATE(B21,1)</f>
        <v>45183</v>
      </c>
      <c r="C22" s="5" t="n">
        <f aca="false">B22-B21</f>
        <v>31</v>
      </c>
      <c r="D22" s="4" t="n">
        <f aca="false">ROUND(E22*'Discounted Bills 2'!$B$5*C22/360,2)</f>
        <v>17299.72</v>
      </c>
      <c r="E22" s="4" t="n">
        <f aca="false">G21</f>
        <v>2041666.63</v>
      </c>
      <c r="F22" s="4" t="n">
        <f aca="false">ROUND('Discounted Bills 2'!$E$3/'Discounted Bills 2'!$B$4,2)</f>
        <v>41666.67</v>
      </c>
      <c r="G22" s="4" t="n">
        <f aca="false">E22-F22</f>
        <v>1999999.96</v>
      </c>
    </row>
    <row r="23" customFormat="false" ht="15" hidden="false" customHeight="false" outlineLevel="0" collapsed="false">
      <c r="A23" s="5" t="n">
        <v>13</v>
      </c>
      <c r="B23" s="17" t="n">
        <f aca="false">EDATE(B22,1)</f>
        <v>45213</v>
      </c>
      <c r="C23" s="5" t="n">
        <f aca="false">B23-B22</f>
        <v>30</v>
      </c>
      <c r="D23" s="4" t="n">
        <f aca="false">ROUND(E23*'Discounted Bills 2'!$B$5*C23/360,2)</f>
        <v>16400</v>
      </c>
      <c r="E23" s="4" t="n">
        <f aca="false">G22</f>
        <v>1999999.96</v>
      </c>
      <c r="F23" s="4" t="n">
        <f aca="false">ROUND('Discounted Bills 2'!$E$3/'Discounted Bills 2'!$B$4,2)</f>
        <v>41666.67</v>
      </c>
      <c r="G23" s="4" t="n">
        <f aca="false">E23-F23</f>
        <v>1958333.29</v>
      </c>
    </row>
    <row r="24" customFormat="false" ht="15" hidden="false" customHeight="false" outlineLevel="0" collapsed="false">
      <c r="A24" s="5" t="n">
        <v>14</v>
      </c>
      <c r="B24" s="17" t="n">
        <f aca="false">EDATE(B23,1)</f>
        <v>45244</v>
      </c>
      <c r="C24" s="5" t="n">
        <f aca="false">B24-B23</f>
        <v>31</v>
      </c>
      <c r="D24" s="4" t="n">
        <f aca="false">ROUND(E24*'Discounted Bills 2'!$B$5*C24/360,2)</f>
        <v>16593.61</v>
      </c>
      <c r="E24" s="4" t="n">
        <f aca="false">G23</f>
        <v>1958333.29</v>
      </c>
      <c r="F24" s="4" t="n">
        <f aca="false">ROUND('Discounted Bills 2'!$E$3/'Discounted Bills 2'!$B$4,2)</f>
        <v>41666.67</v>
      </c>
      <c r="G24" s="4" t="n">
        <f aca="false">E24-F24</f>
        <v>1916666.62</v>
      </c>
    </row>
    <row r="25" customFormat="false" ht="15" hidden="false" customHeight="false" outlineLevel="0" collapsed="false">
      <c r="A25" s="5" t="n">
        <v>15</v>
      </c>
      <c r="B25" s="17" t="n">
        <f aca="false">EDATE(B24,1)</f>
        <v>45274</v>
      </c>
      <c r="C25" s="5" t="n">
        <f aca="false">B25-B24</f>
        <v>30</v>
      </c>
      <c r="D25" s="4" t="n">
        <f aca="false">ROUND(E25*'Discounted Bills 2'!$B$5*C25/360,2)</f>
        <v>15716.67</v>
      </c>
      <c r="E25" s="4" t="n">
        <f aca="false">G24</f>
        <v>1916666.62</v>
      </c>
      <c r="F25" s="4" t="n">
        <f aca="false">ROUND('Discounted Bills 2'!$E$3/'Discounted Bills 2'!$B$4,2)</f>
        <v>41666.67</v>
      </c>
      <c r="G25" s="4" t="n">
        <f aca="false">E25-F25</f>
        <v>1874999.95</v>
      </c>
    </row>
    <row r="26" customFormat="false" ht="15" hidden="false" customHeight="false" outlineLevel="0" collapsed="false">
      <c r="A26" s="5" t="n">
        <v>16</v>
      </c>
      <c r="B26" s="17" t="n">
        <f aca="false">EDATE(B25,1)</f>
        <v>45305</v>
      </c>
      <c r="C26" s="5" t="n">
        <f aca="false">B26-B25</f>
        <v>31</v>
      </c>
      <c r="D26" s="4" t="n">
        <f aca="false">ROUND(E26*'Discounted Bills 2'!$B$5*C26/360,2)</f>
        <v>15887.5</v>
      </c>
      <c r="E26" s="4" t="n">
        <f aca="false">G25</f>
        <v>1874999.95</v>
      </c>
      <c r="F26" s="4" t="n">
        <f aca="false">ROUND('Discounted Bills 2'!$E$3/'Discounted Bills 2'!$B$4,2)</f>
        <v>41666.67</v>
      </c>
      <c r="G26" s="4" t="n">
        <f aca="false">E26-F26</f>
        <v>1833333.28</v>
      </c>
    </row>
    <row r="27" customFormat="false" ht="15" hidden="false" customHeight="false" outlineLevel="0" collapsed="false">
      <c r="A27" s="5" t="n">
        <v>17</v>
      </c>
      <c r="B27" s="17" t="n">
        <f aca="false">EDATE(B26,1)</f>
        <v>45336</v>
      </c>
      <c r="C27" s="5" t="n">
        <f aca="false">B27-B26</f>
        <v>31</v>
      </c>
      <c r="D27" s="4" t="n">
        <f aca="false">ROUND(E27*'Discounted Bills 2'!$B$5*C27/360,2)</f>
        <v>15534.44</v>
      </c>
      <c r="E27" s="4" t="n">
        <f aca="false">G26</f>
        <v>1833333.28</v>
      </c>
      <c r="F27" s="4" t="n">
        <f aca="false">ROUND('Discounted Bills 2'!$E$3/'Discounted Bills 2'!$B$4,2)</f>
        <v>41666.67</v>
      </c>
      <c r="G27" s="4" t="n">
        <f aca="false">E27-F27</f>
        <v>1791666.61</v>
      </c>
    </row>
    <row r="28" customFormat="false" ht="15" hidden="false" customHeight="false" outlineLevel="0" collapsed="false">
      <c r="A28" s="5" t="n">
        <v>18</v>
      </c>
      <c r="B28" s="17" t="n">
        <f aca="false">EDATE(B27,1)</f>
        <v>45365</v>
      </c>
      <c r="C28" s="5" t="n">
        <f aca="false">B28-B27</f>
        <v>29</v>
      </c>
      <c r="D28" s="4" t="n">
        <f aca="false">ROUND(E28*'Discounted Bills 2'!$B$5*C28/360,2)</f>
        <v>14201.94</v>
      </c>
      <c r="E28" s="4" t="n">
        <f aca="false">G27</f>
        <v>1791666.61</v>
      </c>
      <c r="F28" s="4" t="n">
        <f aca="false">ROUND('Discounted Bills 2'!$E$3/'Discounted Bills 2'!$B$4,2)</f>
        <v>41666.67</v>
      </c>
      <c r="G28" s="4" t="n">
        <f aca="false">E28-F28</f>
        <v>1749999.94</v>
      </c>
    </row>
    <row r="29" customFormat="false" ht="15" hidden="false" customHeight="false" outlineLevel="0" collapsed="false">
      <c r="A29" s="5" t="n">
        <v>19</v>
      </c>
      <c r="B29" s="17" t="n">
        <f aca="false">EDATE(B28,1)</f>
        <v>45396</v>
      </c>
      <c r="C29" s="5" t="n">
        <f aca="false">B29-B28</f>
        <v>31</v>
      </c>
      <c r="D29" s="4" t="n">
        <f aca="false">ROUND(E29*'Discounted Bills 2'!$B$5*C29/360,2)</f>
        <v>14828.33</v>
      </c>
      <c r="E29" s="4" t="n">
        <f aca="false">G28</f>
        <v>1749999.94</v>
      </c>
      <c r="F29" s="4" t="n">
        <f aca="false">ROUND('Discounted Bills 2'!$E$3/'Discounted Bills 2'!$B$4,2)</f>
        <v>41666.67</v>
      </c>
      <c r="G29" s="4" t="n">
        <f aca="false">E29-F29</f>
        <v>1708333.27</v>
      </c>
    </row>
    <row r="30" customFormat="false" ht="15" hidden="false" customHeight="false" outlineLevel="0" collapsed="false">
      <c r="A30" s="5" t="n">
        <v>20</v>
      </c>
      <c r="B30" s="17" t="n">
        <f aca="false">EDATE(B29,1)</f>
        <v>45426</v>
      </c>
      <c r="C30" s="5" t="n">
        <f aca="false">B30-B29</f>
        <v>30</v>
      </c>
      <c r="D30" s="4" t="n">
        <f aca="false">ROUND(E30*'Discounted Bills 2'!$B$5*C30/360,2)</f>
        <v>14008.33</v>
      </c>
      <c r="E30" s="4" t="n">
        <f aca="false">G29</f>
        <v>1708333.27</v>
      </c>
      <c r="F30" s="4" t="n">
        <f aca="false">ROUND('Discounted Bills 2'!$E$3/'Discounted Bills 2'!$B$4,2)</f>
        <v>41666.67</v>
      </c>
      <c r="G30" s="4" t="n">
        <f aca="false">E30-F30</f>
        <v>1666666.6</v>
      </c>
    </row>
    <row r="31" customFormat="false" ht="15" hidden="false" customHeight="false" outlineLevel="0" collapsed="false">
      <c r="A31" s="5" t="n">
        <v>21</v>
      </c>
      <c r="B31" s="17" t="n">
        <f aca="false">EDATE(B30,1)</f>
        <v>45457</v>
      </c>
      <c r="C31" s="5" t="n">
        <f aca="false">B31-B30</f>
        <v>31</v>
      </c>
      <c r="D31" s="4" t="n">
        <f aca="false">ROUND(E31*'Discounted Bills 2'!$B$5*C31/360,2)</f>
        <v>14122.22</v>
      </c>
      <c r="E31" s="4" t="n">
        <f aca="false">G30</f>
        <v>1666666.6</v>
      </c>
      <c r="F31" s="4" t="n">
        <f aca="false">ROUND('Discounted Bills 2'!$E$3/'Discounted Bills 2'!$B$4,2)</f>
        <v>41666.67</v>
      </c>
      <c r="G31" s="4" t="n">
        <f aca="false">E31-F31</f>
        <v>1624999.93</v>
      </c>
    </row>
    <row r="32" customFormat="false" ht="15" hidden="false" customHeight="false" outlineLevel="0" collapsed="false">
      <c r="A32" s="5" t="n">
        <v>22</v>
      </c>
      <c r="B32" s="17" t="n">
        <f aca="false">EDATE(B31,1)</f>
        <v>45487</v>
      </c>
      <c r="C32" s="5" t="n">
        <f aca="false">B32-B31</f>
        <v>30</v>
      </c>
      <c r="D32" s="4" t="n">
        <f aca="false">ROUND(E32*'Discounted Bills 2'!$B$5*C32/360,2)</f>
        <v>13325</v>
      </c>
      <c r="E32" s="4" t="n">
        <f aca="false">G31</f>
        <v>1624999.93</v>
      </c>
      <c r="F32" s="4" t="n">
        <f aca="false">ROUND('Discounted Bills 2'!$E$3/'Discounted Bills 2'!$B$4,2)</f>
        <v>41666.67</v>
      </c>
      <c r="G32" s="4" t="n">
        <f aca="false">E32-F32</f>
        <v>1583333.26</v>
      </c>
    </row>
    <row r="33" customFormat="false" ht="15" hidden="false" customHeight="false" outlineLevel="0" collapsed="false">
      <c r="A33" s="5" t="n">
        <v>23</v>
      </c>
      <c r="B33" s="17" t="n">
        <f aca="false">EDATE(B32,1)</f>
        <v>45518</v>
      </c>
      <c r="C33" s="5" t="n">
        <f aca="false">B33-B32</f>
        <v>31</v>
      </c>
      <c r="D33" s="4" t="n">
        <f aca="false">ROUND(E33*'Discounted Bills 2'!$B$5*C33/360,2)</f>
        <v>13416.11</v>
      </c>
      <c r="E33" s="4" t="n">
        <f aca="false">G32</f>
        <v>1583333.26</v>
      </c>
      <c r="F33" s="4" t="n">
        <f aca="false">ROUND('Discounted Bills 2'!$E$3/'Discounted Bills 2'!$B$4,2)</f>
        <v>41666.67</v>
      </c>
      <c r="G33" s="4" t="n">
        <f aca="false">E33-F33</f>
        <v>1541666.59</v>
      </c>
    </row>
    <row r="34" customFormat="false" ht="15" hidden="false" customHeight="false" outlineLevel="0" collapsed="false">
      <c r="A34" s="5" t="n">
        <v>24</v>
      </c>
      <c r="B34" s="17" t="n">
        <f aca="false">EDATE(B33,1)</f>
        <v>45549</v>
      </c>
      <c r="C34" s="5" t="n">
        <f aca="false">B34-B33</f>
        <v>31</v>
      </c>
      <c r="D34" s="4" t="n">
        <f aca="false">ROUND(E34*'Discounted Bills 2'!$B$5*C34/360,2)</f>
        <v>13063.05</v>
      </c>
      <c r="E34" s="4" t="n">
        <f aca="false">G33</f>
        <v>1541666.59</v>
      </c>
      <c r="F34" s="4" t="n">
        <f aca="false">ROUND('Discounted Bills 2'!$E$3/'Discounted Bills 2'!$B$4,2)</f>
        <v>41666.67</v>
      </c>
      <c r="G34" s="4" t="n">
        <f aca="false">E34-F34</f>
        <v>1499999.92</v>
      </c>
    </row>
    <row r="35" customFormat="false" ht="15" hidden="false" customHeight="false" outlineLevel="0" collapsed="false">
      <c r="A35" s="5" t="n">
        <v>25</v>
      </c>
      <c r="B35" s="17" t="n">
        <f aca="false">EDATE(B34,1)</f>
        <v>45579</v>
      </c>
      <c r="C35" s="5" t="n">
        <f aca="false">B35-B34</f>
        <v>30</v>
      </c>
      <c r="D35" s="4" t="n">
        <f aca="false">ROUND(E35*'Discounted Bills 2'!$B$5*C35/360,2)</f>
        <v>12300</v>
      </c>
      <c r="E35" s="4" t="n">
        <f aca="false">G34</f>
        <v>1499999.92</v>
      </c>
      <c r="F35" s="4" t="n">
        <f aca="false">ROUND('Discounted Bills 2'!$E$3/'Discounted Bills 2'!$B$4,2)</f>
        <v>41666.67</v>
      </c>
      <c r="G35" s="4" t="n">
        <f aca="false">E35-F35</f>
        <v>1458333.25</v>
      </c>
    </row>
    <row r="36" customFormat="false" ht="15" hidden="false" customHeight="false" outlineLevel="0" collapsed="false">
      <c r="A36" s="5" t="n">
        <v>26</v>
      </c>
      <c r="B36" s="17" t="n">
        <f aca="false">EDATE(B35,1)</f>
        <v>45610</v>
      </c>
      <c r="C36" s="5" t="n">
        <f aca="false">B36-B35</f>
        <v>31</v>
      </c>
      <c r="D36" s="4" t="n">
        <f aca="false">ROUND(E36*'Discounted Bills 2'!$B$5*C36/360,2)</f>
        <v>12356.94</v>
      </c>
      <c r="E36" s="4" t="n">
        <f aca="false">G35</f>
        <v>1458333.25</v>
      </c>
      <c r="F36" s="4" t="n">
        <f aca="false">ROUND('Discounted Bills 2'!$E$3/'Discounted Bills 2'!$B$4,2)</f>
        <v>41666.67</v>
      </c>
      <c r="G36" s="4" t="n">
        <f aca="false">E36-F36</f>
        <v>1416666.58</v>
      </c>
    </row>
    <row r="37" customFormat="false" ht="15" hidden="false" customHeight="false" outlineLevel="0" collapsed="false">
      <c r="A37" s="5" t="n">
        <v>27</v>
      </c>
      <c r="B37" s="17" t="n">
        <f aca="false">EDATE(B36,1)</f>
        <v>45640</v>
      </c>
      <c r="C37" s="5" t="n">
        <f aca="false">B37-B36</f>
        <v>30</v>
      </c>
      <c r="D37" s="4" t="n">
        <f aca="false">ROUND(E37*'Discounted Bills 2'!$B$5*C37/360,2)</f>
        <v>11616.67</v>
      </c>
      <c r="E37" s="4" t="n">
        <f aca="false">G36</f>
        <v>1416666.58</v>
      </c>
      <c r="F37" s="4" t="n">
        <f aca="false">ROUND('Discounted Bills 2'!$E$3/'Discounted Bills 2'!$B$4,2)</f>
        <v>41666.67</v>
      </c>
      <c r="G37" s="4" t="n">
        <f aca="false">E37-F37</f>
        <v>1374999.91</v>
      </c>
    </row>
    <row r="38" customFormat="false" ht="15" hidden="false" customHeight="false" outlineLevel="0" collapsed="false">
      <c r="A38" s="5" t="n">
        <v>28</v>
      </c>
      <c r="B38" s="17" t="n">
        <f aca="false">EDATE(B37,1)</f>
        <v>45671</v>
      </c>
      <c r="C38" s="5" t="n">
        <f aca="false">B38-B37</f>
        <v>31</v>
      </c>
      <c r="D38" s="4" t="n">
        <f aca="false">ROUND(E38*'Discounted Bills 2'!$B$5*C38/360,2)</f>
        <v>11650.83</v>
      </c>
      <c r="E38" s="4" t="n">
        <f aca="false">G37</f>
        <v>1374999.91</v>
      </c>
      <c r="F38" s="4" t="n">
        <f aca="false">ROUND('Discounted Bills 2'!$E$3/'Discounted Bills 2'!$B$4,2)</f>
        <v>41666.67</v>
      </c>
      <c r="G38" s="4" t="n">
        <f aca="false">E38-F38</f>
        <v>1333333.24</v>
      </c>
    </row>
    <row r="39" customFormat="false" ht="15" hidden="false" customHeight="false" outlineLevel="0" collapsed="false">
      <c r="A39" s="5" t="n">
        <v>29</v>
      </c>
      <c r="B39" s="17" t="n">
        <f aca="false">EDATE(B38,1)</f>
        <v>45702</v>
      </c>
      <c r="C39" s="5" t="n">
        <f aca="false">B39-B38</f>
        <v>31</v>
      </c>
      <c r="D39" s="4" t="n">
        <f aca="false">ROUND(E39*'Discounted Bills 2'!$B$5*C39/360,2)</f>
        <v>11297.78</v>
      </c>
      <c r="E39" s="4" t="n">
        <f aca="false">G38</f>
        <v>1333333.24</v>
      </c>
      <c r="F39" s="4" t="n">
        <f aca="false">ROUND('Discounted Bills 2'!$E$3/'Discounted Bills 2'!$B$4,2)</f>
        <v>41666.67</v>
      </c>
      <c r="G39" s="4" t="n">
        <f aca="false">E39-F39</f>
        <v>1291666.57</v>
      </c>
    </row>
    <row r="40" customFormat="false" ht="15" hidden="false" customHeight="false" outlineLevel="0" collapsed="false">
      <c r="A40" s="5" t="n">
        <v>30</v>
      </c>
      <c r="B40" s="17" t="n">
        <f aca="false">EDATE(B39,1)</f>
        <v>45730</v>
      </c>
      <c r="C40" s="5" t="n">
        <f aca="false">B40-B39</f>
        <v>28</v>
      </c>
      <c r="D40" s="4" t="n">
        <f aca="false">ROUND(E40*'Discounted Bills 2'!$B$5*C40/360,2)</f>
        <v>9885.55</v>
      </c>
      <c r="E40" s="4" t="n">
        <f aca="false">G39</f>
        <v>1291666.57</v>
      </c>
      <c r="F40" s="4" t="n">
        <f aca="false">ROUND('Discounted Bills 2'!$E$3/'Discounted Bills 2'!$B$4,2)</f>
        <v>41666.67</v>
      </c>
      <c r="G40" s="4" t="n">
        <f aca="false">E40-F40</f>
        <v>1249999.9</v>
      </c>
    </row>
    <row r="41" customFormat="false" ht="15" hidden="false" customHeight="false" outlineLevel="0" collapsed="false">
      <c r="A41" s="5" t="n">
        <v>31</v>
      </c>
      <c r="B41" s="17" t="n">
        <f aca="false">EDATE(B40,1)</f>
        <v>45761</v>
      </c>
      <c r="C41" s="5" t="n">
        <f aca="false">B41-B40</f>
        <v>31</v>
      </c>
      <c r="D41" s="4" t="n">
        <f aca="false">ROUND(E41*'Discounted Bills 2'!$B$5*C41/360,2)</f>
        <v>10591.67</v>
      </c>
      <c r="E41" s="4" t="n">
        <f aca="false">G40</f>
        <v>1249999.9</v>
      </c>
      <c r="F41" s="4" t="n">
        <f aca="false">ROUND('Discounted Bills 2'!$E$3/'Discounted Bills 2'!$B$4,2)</f>
        <v>41666.67</v>
      </c>
      <c r="G41" s="4" t="n">
        <f aca="false">E41-F41</f>
        <v>1208333.23</v>
      </c>
    </row>
    <row r="42" customFormat="false" ht="15" hidden="false" customHeight="false" outlineLevel="0" collapsed="false">
      <c r="A42" s="5" t="n">
        <v>32</v>
      </c>
      <c r="B42" s="17" t="n">
        <f aca="false">EDATE(B41,1)</f>
        <v>45791</v>
      </c>
      <c r="C42" s="5" t="n">
        <f aca="false">B42-B41</f>
        <v>30</v>
      </c>
      <c r="D42" s="4" t="n">
        <f aca="false">ROUND(E42*'Discounted Bills 2'!$B$5*C42/360,2)</f>
        <v>9908.33</v>
      </c>
      <c r="E42" s="4" t="n">
        <f aca="false">G41</f>
        <v>1208333.23</v>
      </c>
      <c r="F42" s="4" t="n">
        <f aca="false">ROUND('Discounted Bills 2'!$E$3/'Discounted Bills 2'!$B$4,2)</f>
        <v>41666.67</v>
      </c>
      <c r="G42" s="4" t="n">
        <f aca="false">E42-F42</f>
        <v>1166666.56</v>
      </c>
    </row>
    <row r="43" customFormat="false" ht="15" hidden="false" customHeight="false" outlineLevel="0" collapsed="false">
      <c r="A43" s="5" t="n">
        <v>33</v>
      </c>
      <c r="B43" s="17" t="n">
        <f aca="false">EDATE(B42,1)</f>
        <v>45822</v>
      </c>
      <c r="C43" s="5" t="n">
        <f aca="false">B43-B42</f>
        <v>31</v>
      </c>
      <c r="D43" s="4" t="n">
        <f aca="false">ROUND(E43*'Discounted Bills 2'!$B$5*C43/360,2)</f>
        <v>9885.55</v>
      </c>
      <c r="E43" s="4" t="n">
        <f aca="false">G42</f>
        <v>1166666.56</v>
      </c>
      <c r="F43" s="4" t="n">
        <f aca="false">ROUND('Discounted Bills 2'!$E$3/'Discounted Bills 2'!$B$4,2)</f>
        <v>41666.67</v>
      </c>
      <c r="G43" s="4" t="n">
        <f aca="false">E43-F43</f>
        <v>1124999.89</v>
      </c>
    </row>
    <row r="44" customFormat="false" ht="15" hidden="false" customHeight="false" outlineLevel="0" collapsed="false">
      <c r="A44" s="5" t="n">
        <v>34</v>
      </c>
      <c r="B44" s="17" t="n">
        <f aca="false">EDATE(B43,1)</f>
        <v>45852</v>
      </c>
      <c r="C44" s="5" t="n">
        <f aca="false">B44-B43</f>
        <v>30</v>
      </c>
      <c r="D44" s="4" t="n">
        <f aca="false">ROUND(E44*'Discounted Bills 2'!$B$5*C44/360,2)</f>
        <v>9225</v>
      </c>
      <c r="E44" s="4" t="n">
        <f aca="false">G43</f>
        <v>1124999.89</v>
      </c>
      <c r="F44" s="4" t="n">
        <f aca="false">ROUND('Discounted Bills 2'!$E$3/'Discounted Bills 2'!$B$4,2)</f>
        <v>41666.67</v>
      </c>
      <c r="G44" s="4" t="n">
        <f aca="false">E44-F44</f>
        <v>1083333.22</v>
      </c>
    </row>
    <row r="45" customFormat="false" ht="15" hidden="false" customHeight="false" outlineLevel="0" collapsed="false">
      <c r="A45" s="5" t="n">
        <v>35</v>
      </c>
      <c r="B45" s="17" t="n">
        <f aca="false">EDATE(B44,1)</f>
        <v>45883</v>
      </c>
      <c r="C45" s="5" t="n">
        <f aca="false">B45-B44</f>
        <v>31</v>
      </c>
      <c r="D45" s="4" t="n">
        <f aca="false">ROUND(E45*'Discounted Bills 2'!$B$5*C45/360,2)</f>
        <v>9179.44</v>
      </c>
      <c r="E45" s="4" t="n">
        <f aca="false">G44</f>
        <v>1083333.22</v>
      </c>
      <c r="F45" s="4" t="n">
        <f aca="false">ROUND('Discounted Bills 2'!$E$3/'Discounted Bills 2'!$B$4,2)</f>
        <v>41666.67</v>
      </c>
      <c r="G45" s="4" t="n">
        <f aca="false">E45-F45</f>
        <v>1041666.55</v>
      </c>
    </row>
    <row r="46" customFormat="false" ht="15" hidden="false" customHeight="false" outlineLevel="0" collapsed="false">
      <c r="A46" s="5" t="n">
        <v>36</v>
      </c>
      <c r="B46" s="17" t="n">
        <f aca="false">EDATE(B45,1)</f>
        <v>45914</v>
      </c>
      <c r="C46" s="5" t="n">
        <f aca="false">B46-B45</f>
        <v>31</v>
      </c>
      <c r="D46" s="4" t="n">
        <f aca="false">ROUND(E46*'Discounted Bills 2'!$B$5*C46/360,2)</f>
        <v>8826.39</v>
      </c>
      <c r="E46" s="4" t="n">
        <f aca="false">G45</f>
        <v>1041666.55</v>
      </c>
      <c r="F46" s="4" t="n">
        <f aca="false">ROUND('Discounted Bills 2'!$E$3/'Discounted Bills 2'!$B$4,2)</f>
        <v>41666.67</v>
      </c>
      <c r="G46" s="4" t="n">
        <f aca="false">E46-F46</f>
        <v>999999.880000002</v>
      </c>
    </row>
    <row r="47" customFormat="false" ht="15" hidden="false" customHeight="false" outlineLevel="0" collapsed="false">
      <c r="A47" s="5" t="n">
        <v>37</v>
      </c>
      <c r="B47" s="17" t="n">
        <f aca="false">EDATE(B46,1)</f>
        <v>45944</v>
      </c>
      <c r="C47" s="5" t="n">
        <f aca="false">B47-B46</f>
        <v>30</v>
      </c>
      <c r="D47" s="4" t="n">
        <f aca="false">ROUND(E47*'Discounted Bills 2'!$B$5*C47/360,2)</f>
        <v>8200</v>
      </c>
      <c r="E47" s="4" t="n">
        <f aca="false">G46</f>
        <v>999999.880000002</v>
      </c>
      <c r="F47" s="4" t="n">
        <f aca="false">ROUND('Discounted Bills 2'!$E$3/'Discounted Bills 2'!$B$4,2)</f>
        <v>41666.67</v>
      </c>
      <c r="G47" s="4" t="n">
        <f aca="false">E47-F47</f>
        <v>958333.210000002</v>
      </c>
    </row>
    <row r="48" customFormat="false" ht="15" hidden="false" customHeight="false" outlineLevel="0" collapsed="false">
      <c r="A48" s="5" t="n">
        <v>38</v>
      </c>
      <c r="B48" s="17" t="n">
        <f aca="false">EDATE(B47,1)</f>
        <v>45975</v>
      </c>
      <c r="C48" s="5" t="n">
        <f aca="false">B48-B47</f>
        <v>31</v>
      </c>
      <c r="D48" s="4" t="n">
        <f aca="false">ROUND(E48*'Discounted Bills 2'!$B$5*C48/360,2)</f>
        <v>8120.28</v>
      </c>
      <c r="E48" s="4" t="n">
        <f aca="false">G47</f>
        <v>958333.210000002</v>
      </c>
      <c r="F48" s="4" t="n">
        <f aca="false">ROUND('Discounted Bills 2'!$E$3/'Discounted Bills 2'!$B$4,2)</f>
        <v>41666.67</v>
      </c>
      <c r="G48" s="4" t="n">
        <f aca="false">E48-F48</f>
        <v>916666.540000002</v>
      </c>
    </row>
    <row r="49" customFormat="false" ht="15" hidden="false" customHeight="false" outlineLevel="0" collapsed="false">
      <c r="A49" s="5" t="n">
        <v>39</v>
      </c>
      <c r="B49" s="17" t="n">
        <f aca="false">EDATE(B48,1)</f>
        <v>46005</v>
      </c>
      <c r="C49" s="5" t="n">
        <f aca="false">B49-B48</f>
        <v>30</v>
      </c>
      <c r="D49" s="4" t="n">
        <f aca="false">ROUND(E49*'Discounted Bills 2'!$B$5*C49/360,2)</f>
        <v>7516.67</v>
      </c>
      <c r="E49" s="4" t="n">
        <f aca="false">G48</f>
        <v>916666.540000002</v>
      </c>
      <c r="F49" s="4" t="n">
        <f aca="false">ROUND('Discounted Bills 2'!$E$3/'Discounted Bills 2'!$B$4,2)</f>
        <v>41666.67</v>
      </c>
      <c r="G49" s="4" t="n">
        <f aca="false">E49-F49</f>
        <v>874999.870000002</v>
      </c>
    </row>
    <row r="50" customFormat="false" ht="15" hidden="false" customHeight="false" outlineLevel="0" collapsed="false">
      <c r="A50" s="5" t="n">
        <v>40</v>
      </c>
      <c r="B50" s="17" t="n">
        <f aca="false">EDATE(B49,1)</f>
        <v>46036</v>
      </c>
      <c r="C50" s="5" t="n">
        <f aca="false">B50-B49</f>
        <v>31</v>
      </c>
      <c r="D50" s="4" t="n">
        <f aca="false">ROUND(E50*'Discounted Bills 2'!$B$5*C50/360,2)</f>
        <v>7414.17</v>
      </c>
      <c r="E50" s="4" t="n">
        <f aca="false">G49</f>
        <v>874999.870000002</v>
      </c>
      <c r="F50" s="4" t="n">
        <f aca="false">ROUND('Discounted Bills 2'!$E$3/'Discounted Bills 2'!$B$4,2)</f>
        <v>41666.67</v>
      </c>
      <c r="G50" s="4" t="n">
        <f aca="false">E50-F50</f>
        <v>833333.200000002</v>
      </c>
    </row>
    <row r="51" customFormat="false" ht="15" hidden="false" customHeight="false" outlineLevel="0" collapsed="false">
      <c r="A51" s="5" t="n">
        <v>41</v>
      </c>
      <c r="B51" s="17" t="n">
        <f aca="false">EDATE(B50,1)</f>
        <v>46067</v>
      </c>
      <c r="C51" s="5" t="n">
        <f aca="false">B51-B50</f>
        <v>31</v>
      </c>
      <c r="D51" s="4" t="n">
        <f aca="false">ROUND(E51*'Discounted Bills 2'!$B$5*C51/360,2)</f>
        <v>7061.11</v>
      </c>
      <c r="E51" s="4" t="n">
        <f aca="false">G50</f>
        <v>833333.200000002</v>
      </c>
      <c r="F51" s="4" t="n">
        <f aca="false">ROUND('Discounted Bills 2'!$E$3/'Discounted Bills 2'!$B$4,2)</f>
        <v>41666.67</v>
      </c>
      <c r="G51" s="4" t="n">
        <f aca="false">E51-F51</f>
        <v>791666.530000002</v>
      </c>
    </row>
    <row r="52" customFormat="false" ht="15" hidden="false" customHeight="false" outlineLevel="0" collapsed="false">
      <c r="A52" s="5" t="n">
        <v>42</v>
      </c>
      <c r="B52" s="17" t="n">
        <f aca="false">EDATE(B51,1)</f>
        <v>46095</v>
      </c>
      <c r="C52" s="5" t="n">
        <f aca="false">B52-B51</f>
        <v>28</v>
      </c>
      <c r="D52" s="4" t="n">
        <f aca="false">ROUND(E52*'Discounted Bills 2'!$B$5*C52/360,2)</f>
        <v>6058.89</v>
      </c>
      <c r="E52" s="4" t="n">
        <f aca="false">G51</f>
        <v>791666.530000002</v>
      </c>
      <c r="F52" s="4" t="n">
        <f aca="false">ROUND('Discounted Bills 2'!$E$3/'Discounted Bills 2'!$B$4,2)</f>
        <v>41666.67</v>
      </c>
      <c r="G52" s="4" t="n">
        <f aca="false">E52-F52</f>
        <v>749999.860000002</v>
      </c>
    </row>
    <row r="53" customFormat="false" ht="15" hidden="false" customHeight="false" outlineLevel="0" collapsed="false">
      <c r="A53" s="5" t="n">
        <v>43</v>
      </c>
      <c r="B53" s="17" t="n">
        <f aca="false">EDATE(B52,1)</f>
        <v>46126</v>
      </c>
      <c r="C53" s="5" t="n">
        <f aca="false">B53-B52</f>
        <v>31</v>
      </c>
      <c r="D53" s="4" t="n">
        <f aca="false">ROUND(E53*'Discounted Bills 2'!$B$5*C53/360,2)</f>
        <v>6355</v>
      </c>
      <c r="E53" s="4" t="n">
        <f aca="false">G52</f>
        <v>749999.860000002</v>
      </c>
      <c r="F53" s="4" t="n">
        <f aca="false">ROUND('Discounted Bills 2'!$E$3/'Discounted Bills 2'!$B$4,2)</f>
        <v>41666.67</v>
      </c>
      <c r="G53" s="4" t="n">
        <f aca="false">E53-F53</f>
        <v>708333.190000002</v>
      </c>
    </row>
    <row r="54" customFormat="false" ht="15" hidden="false" customHeight="false" outlineLevel="0" collapsed="false">
      <c r="A54" s="5" t="n">
        <v>44</v>
      </c>
      <c r="B54" s="17" t="n">
        <f aca="false">EDATE(B53,1)</f>
        <v>46156</v>
      </c>
      <c r="C54" s="5" t="n">
        <f aca="false">B54-B53</f>
        <v>30</v>
      </c>
      <c r="D54" s="4" t="n">
        <f aca="false">ROUND(E54*'Discounted Bills 2'!$B$5*C54/360,2)</f>
        <v>5808.33</v>
      </c>
      <c r="E54" s="4" t="n">
        <f aca="false">G53</f>
        <v>708333.190000002</v>
      </c>
      <c r="F54" s="4" t="n">
        <f aca="false">ROUND('Discounted Bills 2'!$E$3/'Discounted Bills 2'!$B$4,2)</f>
        <v>41666.67</v>
      </c>
      <c r="G54" s="4" t="n">
        <f aca="false">E54-F54</f>
        <v>666666.520000002</v>
      </c>
    </row>
    <row r="55" customFormat="false" ht="15" hidden="false" customHeight="false" outlineLevel="0" collapsed="false">
      <c r="A55" s="5" t="n">
        <v>45</v>
      </c>
      <c r="B55" s="17" t="n">
        <f aca="false">EDATE(B54,1)</f>
        <v>46187</v>
      </c>
      <c r="C55" s="5" t="n">
        <f aca="false">B55-B54</f>
        <v>31</v>
      </c>
      <c r="D55" s="4" t="n">
        <f aca="false">ROUND(E55*'Discounted Bills 2'!$B$5*C55/360,2)</f>
        <v>5648.89</v>
      </c>
      <c r="E55" s="4" t="n">
        <f aca="false">G54</f>
        <v>666666.520000002</v>
      </c>
      <c r="F55" s="4" t="n">
        <f aca="false">ROUND('Discounted Bills 2'!$E$3/'Discounted Bills 2'!$B$4,2)</f>
        <v>41666.67</v>
      </c>
      <c r="G55" s="4" t="n">
        <f aca="false">E55-F55</f>
        <v>624999.850000002</v>
      </c>
    </row>
    <row r="56" customFormat="false" ht="15" hidden="false" customHeight="false" outlineLevel="0" collapsed="false">
      <c r="A56" s="5" t="n">
        <v>46</v>
      </c>
      <c r="B56" s="17" t="n">
        <f aca="false">EDATE(B55,1)</f>
        <v>46217</v>
      </c>
      <c r="C56" s="5" t="n">
        <f aca="false">B56-B55</f>
        <v>30</v>
      </c>
      <c r="D56" s="4" t="n">
        <f aca="false">ROUND(E56*'Discounted Bills 2'!$B$5*C56/360,2)</f>
        <v>5125</v>
      </c>
      <c r="E56" s="4" t="n">
        <f aca="false">G55</f>
        <v>624999.850000002</v>
      </c>
      <c r="F56" s="4" t="n">
        <f aca="false">ROUND('Discounted Bills 2'!$E$3/'Discounted Bills 2'!$B$4,2)</f>
        <v>41666.67</v>
      </c>
      <c r="G56" s="4" t="n">
        <f aca="false">E56-F56</f>
        <v>583333.180000002</v>
      </c>
    </row>
    <row r="57" customFormat="false" ht="15" hidden="false" customHeight="false" outlineLevel="0" collapsed="false">
      <c r="A57" s="5" t="n">
        <v>47</v>
      </c>
      <c r="B57" s="17" t="n">
        <f aca="false">EDATE(B56,1)</f>
        <v>46248</v>
      </c>
      <c r="C57" s="5" t="n">
        <f aca="false">B57-B56</f>
        <v>31</v>
      </c>
      <c r="D57" s="4" t="n">
        <f aca="false">ROUND(E57*'Discounted Bills 2'!$B$5*C57/360,2)</f>
        <v>4942.78</v>
      </c>
      <c r="E57" s="4" t="n">
        <f aca="false">G56</f>
        <v>583333.180000002</v>
      </c>
      <c r="F57" s="4" t="n">
        <f aca="false">ROUND('Discounted Bills 2'!$E$3/'Discounted Bills 2'!$B$4,2)</f>
        <v>41666.67</v>
      </c>
      <c r="G57" s="4" t="n">
        <f aca="false">E57-F57</f>
        <v>541666.510000002</v>
      </c>
    </row>
    <row r="58" customFormat="false" ht="15" hidden="false" customHeight="false" outlineLevel="0" collapsed="false">
      <c r="A58" s="5" t="n">
        <v>48</v>
      </c>
      <c r="B58" s="17" t="n">
        <f aca="false">EDATE(B57,1)</f>
        <v>46279</v>
      </c>
      <c r="C58" s="5" t="n">
        <f aca="false">B58-B57</f>
        <v>31</v>
      </c>
      <c r="D58" s="4" t="n">
        <f aca="false">ROUND(E58*'Discounted Bills 2'!$B$5*C58/360,2)</f>
        <v>4589.72</v>
      </c>
      <c r="E58" s="4" t="n">
        <f aca="false">G57</f>
        <v>541666.510000002</v>
      </c>
      <c r="F58" s="4" t="n">
        <f aca="false">ROUND('Discounted Bills 2'!$E$3/'Discounted Bills 2'!$B$4,2)</f>
        <v>41666.67</v>
      </c>
      <c r="G58" s="4" t="n">
        <f aca="false">E58-F58</f>
        <v>499999.840000002</v>
      </c>
    </row>
    <row r="59" customFormat="false" ht="15" hidden="false" customHeight="false" outlineLevel="0" collapsed="false">
      <c r="A59" s="5" t="n">
        <v>49</v>
      </c>
      <c r="B59" s="17" t="n">
        <f aca="false">EDATE(B58,1)</f>
        <v>46309</v>
      </c>
      <c r="C59" s="5" t="n">
        <f aca="false">B59-B58</f>
        <v>30</v>
      </c>
      <c r="D59" s="4" t="n">
        <f aca="false">ROUND(E59*'Discounted Bills 2'!$B$5*C59/360,2)</f>
        <v>4100</v>
      </c>
      <c r="E59" s="4" t="n">
        <f aca="false">G58</f>
        <v>499999.840000002</v>
      </c>
      <c r="F59" s="4" t="n">
        <f aca="false">ROUND('Discounted Bills 2'!$E$3/'Discounted Bills 2'!$B$4,2)</f>
        <v>41666.67</v>
      </c>
      <c r="G59" s="4" t="n">
        <f aca="false">E59-F59</f>
        <v>458333.170000002</v>
      </c>
    </row>
    <row r="60" customFormat="false" ht="15" hidden="false" customHeight="false" outlineLevel="0" collapsed="false">
      <c r="A60" s="5" t="n">
        <v>50</v>
      </c>
      <c r="B60" s="17" t="n">
        <f aca="false">EDATE(B59,1)</f>
        <v>46340</v>
      </c>
      <c r="C60" s="5" t="n">
        <f aca="false">B60-B59</f>
        <v>31</v>
      </c>
      <c r="D60" s="4" t="n">
        <f aca="false">ROUND(E60*'Discounted Bills 2'!$B$5*C60/360,2)</f>
        <v>3883.61</v>
      </c>
      <c r="E60" s="4" t="n">
        <f aca="false">G59</f>
        <v>458333.170000002</v>
      </c>
      <c r="F60" s="4" t="n">
        <f aca="false">ROUND('Discounted Bills 2'!$E$3/'Discounted Bills 2'!$B$4,2)</f>
        <v>41666.67</v>
      </c>
      <c r="G60" s="4" t="n">
        <f aca="false">E60-F60</f>
        <v>416666.500000002</v>
      </c>
    </row>
    <row r="61" customFormat="false" ht="15" hidden="false" customHeight="false" outlineLevel="0" collapsed="false">
      <c r="A61" s="5" t="n">
        <v>51</v>
      </c>
      <c r="B61" s="17" t="n">
        <f aca="false">EDATE(B60,1)</f>
        <v>46370</v>
      </c>
      <c r="C61" s="5" t="n">
        <f aca="false">B61-B60</f>
        <v>30</v>
      </c>
      <c r="D61" s="4" t="n">
        <f aca="false">ROUND(E61*'Discounted Bills 2'!$B$5*C61/360,2)</f>
        <v>3416.67</v>
      </c>
      <c r="E61" s="4" t="n">
        <f aca="false">G60</f>
        <v>416666.500000002</v>
      </c>
      <c r="F61" s="4" t="n">
        <f aca="false">ROUND('Discounted Bills 2'!$E$3/'Discounted Bills 2'!$B$4,2)</f>
        <v>41666.67</v>
      </c>
      <c r="G61" s="4" t="n">
        <f aca="false">E61-F61</f>
        <v>374999.830000002</v>
      </c>
    </row>
    <row r="62" customFormat="false" ht="15" hidden="false" customHeight="false" outlineLevel="0" collapsed="false">
      <c r="A62" s="5" t="n">
        <v>52</v>
      </c>
      <c r="B62" s="17" t="n">
        <f aca="false">EDATE(B61,1)</f>
        <v>46401</v>
      </c>
      <c r="C62" s="5" t="n">
        <f aca="false">B62-B61</f>
        <v>31</v>
      </c>
      <c r="D62" s="4" t="n">
        <f aca="false">ROUND(E62*'Discounted Bills 2'!$B$5*C62/360,2)</f>
        <v>3177.5</v>
      </c>
      <c r="E62" s="4" t="n">
        <f aca="false">G61</f>
        <v>374999.830000002</v>
      </c>
      <c r="F62" s="4" t="n">
        <f aca="false">ROUND('Discounted Bills 2'!$E$3/'Discounted Bills 2'!$B$4,2)</f>
        <v>41666.67</v>
      </c>
      <c r="G62" s="4" t="n">
        <f aca="false">E62-F62</f>
        <v>333333.160000002</v>
      </c>
    </row>
    <row r="63" customFormat="false" ht="15" hidden="false" customHeight="false" outlineLevel="0" collapsed="false">
      <c r="A63" s="5" t="n">
        <v>53</v>
      </c>
      <c r="B63" s="17" t="n">
        <f aca="false">EDATE(B62,1)</f>
        <v>46432</v>
      </c>
      <c r="C63" s="5" t="n">
        <f aca="false">B63-B62</f>
        <v>31</v>
      </c>
      <c r="D63" s="4" t="n">
        <f aca="false">ROUND(E63*'Discounted Bills 2'!$B$5*C63/360,2)</f>
        <v>2824.44</v>
      </c>
      <c r="E63" s="4" t="n">
        <f aca="false">G62</f>
        <v>333333.160000002</v>
      </c>
      <c r="F63" s="4" t="n">
        <f aca="false">ROUND('Discounted Bills 2'!$E$3/'Discounted Bills 2'!$B$4,2)</f>
        <v>41666.67</v>
      </c>
      <c r="G63" s="4" t="n">
        <f aca="false">E63-F63</f>
        <v>291666.490000002</v>
      </c>
    </row>
    <row r="64" customFormat="false" ht="15" hidden="false" customHeight="false" outlineLevel="0" collapsed="false">
      <c r="A64" s="5" t="n">
        <v>54</v>
      </c>
      <c r="B64" s="17" t="n">
        <f aca="false">EDATE(B63,1)</f>
        <v>46460</v>
      </c>
      <c r="C64" s="5" t="n">
        <f aca="false">B64-B63</f>
        <v>28</v>
      </c>
      <c r="D64" s="4" t="n">
        <f aca="false">ROUND(E64*'Discounted Bills 2'!$B$5*C64/360,2)</f>
        <v>2232.22</v>
      </c>
      <c r="E64" s="4" t="n">
        <f aca="false">G63</f>
        <v>291666.490000002</v>
      </c>
      <c r="F64" s="4" t="n">
        <f aca="false">ROUND('Discounted Bills 2'!$E$3/'Discounted Bills 2'!$B$4,2)</f>
        <v>41666.67</v>
      </c>
      <c r="G64" s="4" t="n">
        <f aca="false">E64-F64</f>
        <v>249999.820000002</v>
      </c>
    </row>
    <row r="65" customFormat="false" ht="15" hidden="false" customHeight="false" outlineLevel="0" collapsed="false">
      <c r="A65" s="5" t="n">
        <v>55</v>
      </c>
      <c r="B65" s="17" t="n">
        <f aca="false">EDATE(B64,1)</f>
        <v>46491</v>
      </c>
      <c r="C65" s="5" t="n">
        <f aca="false">B65-B64</f>
        <v>31</v>
      </c>
      <c r="D65" s="4" t="n">
        <f aca="false">ROUND(E65*'Discounted Bills 2'!$B$5*C65/360,2)</f>
        <v>2118.33</v>
      </c>
      <c r="E65" s="4" t="n">
        <f aca="false">G64</f>
        <v>249999.820000002</v>
      </c>
      <c r="F65" s="4" t="n">
        <f aca="false">ROUND('Discounted Bills 2'!$E$3/'Discounted Bills 2'!$B$4,2)</f>
        <v>41666.67</v>
      </c>
      <c r="G65" s="4" t="n">
        <f aca="false">E65-F65</f>
        <v>208333.150000002</v>
      </c>
    </row>
    <row r="66" customFormat="false" ht="15" hidden="false" customHeight="false" outlineLevel="0" collapsed="false">
      <c r="A66" s="5" t="n">
        <v>56</v>
      </c>
      <c r="B66" s="17" t="n">
        <f aca="false">EDATE(B65,1)</f>
        <v>46521</v>
      </c>
      <c r="C66" s="5" t="n">
        <f aca="false">B66-B65</f>
        <v>30</v>
      </c>
      <c r="D66" s="4" t="n">
        <f aca="false">ROUND(E66*'Discounted Bills 2'!$B$5*C66/360,2)</f>
        <v>1708.33</v>
      </c>
      <c r="E66" s="4" t="n">
        <f aca="false">G65</f>
        <v>208333.150000002</v>
      </c>
      <c r="F66" s="4" t="n">
        <f aca="false">ROUND('Discounted Bills 2'!$E$3/'Discounted Bills 2'!$B$4,2)</f>
        <v>41666.67</v>
      </c>
      <c r="G66" s="4" t="n">
        <f aca="false">E66-F66</f>
        <v>166666.480000002</v>
      </c>
    </row>
    <row r="67" customFormat="false" ht="15" hidden="false" customHeight="false" outlineLevel="0" collapsed="false">
      <c r="A67" s="5" t="n">
        <v>57</v>
      </c>
      <c r="B67" s="17" t="n">
        <f aca="false">EDATE(B66,1)</f>
        <v>46552</v>
      </c>
      <c r="C67" s="5" t="n">
        <f aca="false">B67-B66</f>
        <v>31</v>
      </c>
      <c r="D67" s="4" t="n">
        <f aca="false">ROUND(E67*'Discounted Bills 2'!$B$5*C67/360,2)</f>
        <v>1412.22</v>
      </c>
      <c r="E67" s="4" t="n">
        <f aca="false">G66</f>
        <v>166666.480000002</v>
      </c>
      <c r="F67" s="4" t="n">
        <f aca="false">ROUND('Discounted Bills 2'!$E$3/'Discounted Bills 2'!$B$4,2)</f>
        <v>41666.67</v>
      </c>
      <c r="G67" s="4" t="n">
        <f aca="false">E67-F67</f>
        <v>124999.810000002</v>
      </c>
    </row>
    <row r="68" customFormat="false" ht="15" hidden="false" customHeight="false" outlineLevel="0" collapsed="false">
      <c r="A68" s="5" t="n">
        <v>58</v>
      </c>
      <c r="B68" s="17" t="n">
        <f aca="false">EDATE(B67,1)</f>
        <v>46582</v>
      </c>
      <c r="C68" s="5" t="n">
        <f aca="false">B68-B67</f>
        <v>30</v>
      </c>
      <c r="D68" s="4" t="n">
        <f aca="false">ROUND(E68*'Discounted Bills 2'!$B$5*C68/360,2)</f>
        <v>1025</v>
      </c>
      <c r="E68" s="4" t="n">
        <f aca="false">G67</f>
        <v>124999.810000002</v>
      </c>
      <c r="F68" s="4" t="n">
        <f aca="false">ROUND('Discounted Bills 2'!$E$3/'Discounted Bills 2'!$B$4,2)</f>
        <v>41666.67</v>
      </c>
      <c r="G68" s="4" t="n">
        <f aca="false">E68-F68</f>
        <v>83333.1400000021</v>
      </c>
    </row>
    <row r="69" customFormat="false" ht="15" hidden="false" customHeight="false" outlineLevel="0" collapsed="false">
      <c r="A69" s="5" t="n">
        <v>59</v>
      </c>
      <c r="B69" s="17" t="n">
        <f aca="false">EDATE(B68,1)</f>
        <v>46613</v>
      </c>
      <c r="C69" s="5" t="n">
        <f aca="false">B69-B68</f>
        <v>31</v>
      </c>
      <c r="D69" s="4" t="n">
        <f aca="false">ROUND(E69*'Discounted Bills 2'!$B$5*C69/360,2)</f>
        <v>706.11</v>
      </c>
      <c r="E69" s="4" t="n">
        <f aca="false">G68</f>
        <v>83333.1400000021</v>
      </c>
      <c r="F69" s="4" t="n">
        <f aca="false">ROUND('Discounted Bills 2'!$E$3/'Discounted Bills 2'!$B$4,2)</f>
        <v>41666.67</v>
      </c>
      <c r="G69" s="4" t="n">
        <f aca="false">E69-F69</f>
        <v>41666.4700000021</v>
      </c>
    </row>
    <row r="70" customFormat="false" ht="15" hidden="false" customHeight="false" outlineLevel="0" collapsed="false">
      <c r="A70" s="5" t="n">
        <v>60</v>
      </c>
      <c r="B70" s="17" t="n">
        <f aca="false">EDATE(B69,1)</f>
        <v>46644</v>
      </c>
      <c r="C70" s="5" t="n">
        <f aca="false">B70-B69</f>
        <v>31</v>
      </c>
      <c r="D70" s="4" t="n">
        <f aca="false">ROUND(E70*'Discounted Bills 2'!$B$5*C70/360,2)</f>
        <v>353.05</v>
      </c>
      <c r="E70" s="4" t="n">
        <f aca="false">G69</f>
        <v>41666.4700000021</v>
      </c>
      <c r="F70" s="4" t="n">
        <f aca="false">E70</f>
        <v>41666.4700000021</v>
      </c>
      <c r="G70" s="4" t="n">
        <f aca="false">E70-F70</f>
        <v>0</v>
      </c>
    </row>
    <row r="71" customFormat="false" ht="15" hidden="false" customHeight="false" outlineLevel="0" collapsed="false">
      <c r="A71" s="8"/>
      <c r="B71" s="8"/>
      <c r="C71" s="18" t="s">
        <v>23</v>
      </c>
      <c r="D71" s="9" t="n">
        <f aca="false">SUM(D11:D70)</f>
        <v>634110.51</v>
      </c>
      <c r="E71" s="8"/>
      <c r="F71" s="9" t="n">
        <f aca="false">SUM(F11:F70)</f>
        <v>2500000</v>
      </c>
      <c r="G71" s="8"/>
    </row>
    <row r="73" customFormat="false" ht="22.35" hidden="false" customHeight="true" outlineLevel="0" collapsed="false">
      <c r="A73" s="10" t="s">
        <v>24</v>
      </c>
      <c r="B73" s="10"/>
      <c r="C73" s="10"/>
      <c r="D73" s="10"/>
      <c r="E73" s="10"/>
      <c r="F73" s="10"/>
      <c r="G73" s="10"/>
    </row>
  </sheetData>
  <mergeCells count="2">
    <mergeCell ref="A1:G1"/>
    <mergeCell ref="A73:G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2026-08-27T19:26:34Z</dcterms:created>
  <dc:creator>openpyxl</dc:creator>
  <dc:description/>
  <dc:language>en-US</dc:language>
  <cp:lastModifiedBy/>
  <dcterms:modified xsi:type="dcterms:W3CDTF">2026-08-27T19:26:34Z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