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801" firstSheet="0" activeTab="0" autoFilterDateGrouping="1"/>
  </bookViews>
  <sheets>
    <sheet xmlns:r="http://schemas.openxmlformats.org/officeDocument/2006/relationships" name="سكني مقابل مكتبي" sheetId="1" state="visible" r:id="rId1"/>
    <sheet xmlns:r="http://schemas.openxmlformats.org/officeDocument/2006/relationships" name="قطعة 34 - T5.3" sheetId="2" state="visible" r:id="rId2"/>
    <sheet xmlns:r="http://schemas.openxmlformats.org/officeDocument/2006/relationships" name="الندي" sheetId="3" state="visible" r:id="rId3"/>
  </sheets>
  <externalReferences>
    <externalReference xmlns:r="http://schemas.openxmlformats.org/officeDocument/2006/relationships" r:id="rId4"/>
    <externalReference xmlns:r="http://schemas.openxmlformats.org/officeDocument/2006/relationships" r:id="rId5"/>
  </externalReferences>
  <definedNames>
    <definedName name="in_0">#REF!</definedName>
    <definedName name="in_1">#REF!</definedName>
    <definedName name="in_2">#REF!</definedName>
    <definedName name="in_3">#REF!</definedName>
    <definedName name="in_4">#REF!</definedName>
    <definedName name="in_5">#REF!</definedName>
    <definedName name="in_empty">#REF!</definedName>
    <definedName name="Out_0">#REF!</definedName>
    <definedName name="Out_1">#REF!</definedName>
    <definedName name="Out_2">#REF!</definedName>
    <definedName name="Out_3">#REF!</definedName>
    <definedName name="Out_4">#REF!</definedName>
    <definedName name="Out_5">#REF!</definedName>
    <definedName name="Period_Adjustment">'[1]الايرادات و المبيعات'!$D$6</definedName>
    <definedName name="Period_Factor">#REF!</definedName>
    <definedName name="Price_m2">#REF!</definedName>
    <definedName name="Unit">'[2]20240216 السيناريوهات'!$E$4</definedName>
    <definedName name="VarX1">#REF!</definedName>
    <definedName name="VarX1_1">#REF!</definedName>
    <definedName name="VarX1_2">#REF!</definedName>
    <definedName name="VarX1_3">#REF!</definedName>
    <definedName name="VarX1_4">#REF!</definedName>
    <definedName name="VarX1_5">#REF!</definedName>
    <definedName name="VarX1_temp">#REF!</definedName>
    <definedName name="VarX10">#REF!</definedName>
    <definedName name="VarX10_1">#REF!</definedName>
    <definedName name="VarX10_2">#REF!</definedName>
    <definedName name="VarX10_3">#REF!</definedName>
    <definedName name="VarX10_4">#REF!</definedName>
    <definedName name="VarX10_5">#REF!</definedName>
    <definedName name="VarX10_temp">#REF!</definedName>
    <definedName name="VarX11">#REF!</definedName>
    <definedName name="VarX11_1">#REF!</definedName>
    <definedName name="VarX11_2">#REF!</definedName>
    <definedName name="VarX11_3">#REF!</definedName>
    <definedName name="VarX11_4">#REF!</definedName>
    <definedName name="VarX11_5">#REF!</definedName>
    <definedName name="VarX11_temp">#REF!</definedName>
    <definedName name="VarX12">#REF!</definedName>
    <definedName name="VarX12_1">#REF!</definedName>
    <definedName name="VarX12_2">#REF!</definedName>
    <definedName name="VarX12_3">#REF!</definedName>
    <definedName name="VarX12_4">#REF!</definedName>
    <definedName name="VarX12_5">#REF!</definedName>
    <definedName name="VarX12_temp">#REF!</definedName>
    <definedName name="VarX2">#REF!</definedName>
    <definedName name="VarX2_1">#REF!</definedName>
    <definedName name="VarX2_2">#REF!</definedName>
    <definedName name="VarX2_3">#REF!</definedName>
    <definedName name="VarX2_4">#REF!</definedName>
    <definedName name="VarX2_5">#REF!</definedName>
    <definedName name="VarX2_temp">#REF!</definedName>
    <definedName name="VarX3">#REF!</definedName>
    <definedName name="VarX3_1">#REF!</definedName>
    <definedName name="VarX3_2">#REF!</definedName>
    <definedName name="VarX3_3">#REF!</definedName>
    <definedName name="VarX3_4">#REF!</definedName>
    <definedName name="VarX3_5">#REF!</definedName>
    <definedName name="VarX3_temp">#REF!</definedName>
    <definedName name="VarX4">#REF!</definedName>
    <definedName name="VarX4_1">#REF!</definedName>
    <definedName name="VarX4_2">#REF!</definedName>
    <definedName name="VarX4_3">#REF!</definedName>
    <definedName name="VarX4_4">#REF!</definedName>
    <definedName name="VarX4_5">#REF!</definedName>
    <definedName name="VarX4_temp">#REF!</definedName>
    <definedName name="VarX5">#REF!</definedName>
    <definedName name="VarX5_1">#REF!</definedName>
    <definedName name="VarX5_2">#REF!</definedName>
    <definedName name="VarX5_3">#REF!</definedName>
    <definedName name="VarX5_4">#REF!</definedName>
    <definedName name="VarX5_5">#REF!</definedName>
    <definedName name="VarX5_temp">#REF!</definedName>
    <definedName name="VarX6">#REF!</definedName>
    <definedName name="VarX6_1">#REF!</definedName>
    <definedName name="VarX6_2">#REF!</definedName>
    <definedName name="VarX6_3">#REF!</definedName>
    <definedName name="VarX6_4">#REF!</definedName>
    <definedName name="VarX6_5">#REF!</definedName>
    <definedName name="VarX6_temp">#REF!</definedName>
    <definedName name="VarX7">#REF!</definedName>
    <definedName name="VarX7_1">#REF!</definedName>
    <definedName name="VarX7_2">#REF!</definedName>
    <definedName name="VarX7_3">#REF!</definedName>
    <definedName name="VarX7_4">#REF!</definedName>
    <definedName name="VarX7_5">#REF!</definedName>
    <definedName name="VarX7_temp">#REF!</definedName>
    <definedName name="VarX8">#REF!</definedName>
    <definedName name="VarX8_1">#REF!</definedName>
    <definedName name="VarX8_2">#REF!</definedName>
    <definedName name="VarX8_3">#REF!</definedName>
    <definedName name="VarX8_4">#REF!</definedName>
    <definedName name="VarX8_5">#REF!</definedName>
    <definedName name="VarX8_temp">#REF!</definedName>
    <definedName name="VarX9">#REF!</definedName>
    <definedName name="VarX9_1">#REF!</definedName>
    <definedName name="VarX9_2">#REF!</definedName>
    <definedName name="VarX9_3">#REF!</definedName>
    <definedName name="VarX9_4">#REF!</definedName>
    <definedName name="VarX9_5">#REF!</definedName>
    <definedName name="VarX9_temp">#REF!</definedName>
  </definedNames>
  <calcPr calcId="124519" fullCalcOnLoad="1"/>
</workbook>
</file>

<file path=xl/styles.xml><?xml version="1.0" encoding="utf-8"?>
<styleSheet xmlns="http://schemas.openxmlformats.org/spreadsheetml/2006/main">
  <numFmts count="10">
    <numFmt numFmtId="164" formatCode="#,##0_);\(#,##0\);\-"/>
    <numFmt numFmtId="165" formatCode="0.0%;\(0.0%\);\-"/>
    <numFmt numFmtId="166" formatCode="#,##0;\(#,##0\);\-"/>
    <numFmt numFmtId="167" formatCode="0.00%;\(0.00%\);\-"/>
    <numFmt numFmtId="168" formatCode="#,##0.0;\(#,##0.0\);\-"/>
    <numFmt numFmtId="169" formatCode="#,##0.00;\(#,##0.00\);\-"/>
    <numFmt numFmtId="170" formatCode="#,##0.00_);\(#,##0.00\);\-"/>
    <numFmt numFmtId="171" formatCode="#,##0.0_);\(#,##0.0\);\-"/>
    <numFmt numFmtId="172" formatCode="0%;\(0%\);\-"/>
    <numFmt numFmtId="173" formatCode="0.0"/>
  </numFmts>
  <fonts count="42">
    <font>
      <name val="Calibri"/>
      <family val="2"/>
      <color theme="1"/>
      <sz val="11"/>
      <scheme val="minor"/>
    </font>
    <font>
      <name val="Calibri"/>
      <family val="2"/>
      <color theme="1"/>
      <sz val="11"/>
      <scheme val="minor"/>
    </font>
    <font>
      <name val="Calibri"/>
      <family val="2"/>
      <color theme="1"/>
      <sz val="11"/>
    </font>
    <font>
      <name val="Times New Roman"/>
      <family val="1"/>
      <color rgb="FF000000"/>
      <sz val="10"/>
    </font>
    <font>
      <name val="Calibri"/>
      <family val="2"/>
      <b val="1"/>
      <color theme="0"/>
      <sz val="11"/>
      <scheme val="minor"/>
    </font>
    <font>
      <name val="Calibri"/>
      <family val="2"/>
      <sz val="11"/>
      <scheme val="minor"/>
    </font>
    <font>
      <name val="Calibri"/>
      <family val="2"/>
      <b val="1"/>
      <sz val="11"/>
      <scheme val="minor"/>
    </font>
    <font>
      <name val="Calibri"/>
      <family val="2"/>
      <b val="1"/>
      <color rgb="FF0070C0"/>
      <sz val="11"/>
      <scheme val="minor"/>
    </font>
    <font>
      <name val="Calibri"/>
      <family val="2"/>
      <color rgb="FF0070C0"/>
      <sz val="11"/>
      <scheme val="minor"/>
    </font>
    <font>
      <name val="Calibri"/>
      <family val="2"/>
      <b val="1"/>
      <color theme="0"/>
      <sz val="11"/>
    </font>
    <font>
      <name val="Calibri"/>
      <family val="2"/>
      <color theme="0"/>
      <sz val="11"/>
    </font>
    <font>
      <name val="Calibri"/>
      <family val="2"/>
      <b val="1"/>
      <color theme="1"/>
      <sz val="11"/>
    </font>
    <font>
      <name val="Calibri"/>
      <family val="2"/>
      <color rgb="FF0070C0"/>
      <sz val="11"/>
    </font>
    <font>
      <name val="Calibri"/>
      <family val="2"/>
      <sz val="11"/>
    </font>
    <font>
      <name val="Calibri"/>
      <family val="2"/>
      <b val="1"/>
      <sz val="11"/>
    </font>
    <font>
      <name val="Calibri"/>
      <family val="2"/>
      <color rgb="FF00B050"/>
      <sz val="11"/>
    </font>
    <font>
      <name val="Calibri"/>
      <family val="2"/>
      <color theme="0" tint="-0.1499984740745262"/>
      <sz val="11"/>
    </font>
    <font>
      <name val="Calibri"/>
      <family val="2"/>
      <b val="1"/>
      <color theme="0" tint="-0.249977111117893"/>
      <sz val="11"/>
    </font>
    <font>
      <name val="Calibri"/>
      <family val="2"/>
      <b val="1"/>
      <color theme="1"/>
      <sz val="11"/>
      <scheme val="minor"/>
    </font>
    <font>
      <name val="Calibri"/>
      <family val="2"/>
      <b val="1"/>
      <color rgb="FF0070C0"/>
      <sz val="11"/>
    </font>
    <font>
      <name val="Calibri"/>
      <family val="2"/>
      <b val="1"/>
      <sz val="14"/>
    </font>
    <font>
      <name val="Calibri"/>
      <family val="2"/>
      <i val="1"/>
      <color rgb="FF595959"/>
      <sz val="10"/>
    </font>
    <font>
      <name val="Calibri"/>
      <family val="2"/>
      <b val="1"/>
      <color rgb="FFFFFFFF"/>
      <sz val="12"/>
    </font>
    <font>
      <name val="Calibri"/>
      <family val="2"/>
      <b val="1"/>
      <sz val="10"/>
    </font>
    <font>
      <name val="Calibri"/>
      <family val="2"/>
      <sz val="10"/>
    </font>
    <font>
      <name val="Calibri"/>
      <family val="2"/>
      <color rgb="FF0070C0"/>
      <sz val="10"/>
    </font>
    <font>
      <name val="Calibri"/>
      <family val="2"/>
      <color rgb="FF000000"/>
      <sz val="10"/>
    </font>
    <font>
      <name val="Calibri"/>
      <family val="2"/>
      <i val="1"/>
      <color rgb="FF808080"/>
      <sz val="9"/>
    </font>
    <font>
      <name val="Calibri"/>
      <family val="2"/>
      <b val="1"/>
      <color rgb="FF00B050"/>
      <sz val="10"/>
    </font>
    <font>
      <name val="Calibri"/>
      <family val="2"/>
      <b val="1"/>
      <color rgb="FF000000"/>
      <sz val="10"/>
    </font>
    <font>
      <name val="Calibri"/>
      <family val="2"/>
      <b val="1"/>
      <color rgb="FFFFFFFF"/>
      <sz val="11"/>
    </font>
    <font>
      <name val="Calibri"/>
      <family val="2"/>
      <i val="1"/>
      <color rgb="FF404040"/>
      <sz val="9"/>
    </font>
    <font>
      <name val="Calibri"/>
      <b val="1"/>
      <sz val="14"/>
    </font>
    <font>
      <name val="Calibri"/>
      <color rgb="FF808080"/>
      <sz val="9"/>
    </font>
    <font>
      <name val="Calibri"/>
      <b val="1"/>
      <color rgb="FFFFFFFF"/>
      <sz val="12"/>
    </font>
    <font>
      <name val="Calibri"/>
      <b val="1"/>
      <sz val="10"/>
    </font>
    <font>
      <name val="Calibri"/>
      <sz val="10"/>
    </font>
    <font>
      <name val="Calibri"/>
      <color rgb="FF008000"/>
      <sz val="10"/>
    </font>
    <font>
      <name val="Calibri"/>
      <b val="1"/>
      <color rgb="FF000000"/>
      <sz val="10"/>
    </font>
    <font>
      <name val="Calibri"/>
      <color rgb="FF0070C0"/>
      <sz val="10"/>
    </font>
    <font>
      <name val="Calibri"/>
      <color rgb="FF000000"/>
      <sz val="10"/>
    </font>
    <font>
      <name val="Calibri"/>
      <b val="1"/>
      <color rgb="FFFFFFFF"/>
      <sz val="11"/>
    </font>
  </fonts>
  <fills count="36">
    <fill>
      <patternFill/>
    </fill>
    <fill>
      <patternFill patternType="gray125"/>
    </fill>
    <fill>
      <patternFill patternType="solid">
        <fgColor theme="0" tint="-0.0499893185216834"/>
        <bgColor indexed="64"/>
      </patternFill>
    </fill>
    <fill>
      <patternFill patternType="solid">
        <fgColor theme="0" tint="-0.499984740745262"/>
        <bgColor indexed="64"/>
      </patternFill>
    </fill>
    <fill>
      <patternFill patternType="solid">
        <fgColor theme="1"/>
        <bgColor indexed="64"/>
      </patternFill>
    </fill>
    <fill>
      <patternFill patternType="solid">
        <fgColor rgb="FFFFFFCC"/>
        <bgColor indexed="64"/>
      </patternFill>
    </fill>
    <fill>
      <patternFill patternType="darkDown"/>
    </fill>
    <fill>
      <patternFill patternType="darkDown">
        <bgColor theme="0" tint="-0.0499893185216834"/>
      </patternFill>
    </fill>
    <fill>
      <patternFill patternType="solid">
        <fgColor theme="6" tint="0.7999816888943144"/>
        <bgColor indexed="64"/>
      </patternFill>
    </fill>
    <fill>
      <patternFill patternType="solid">
        <fgColor theme="4"/>
        <bgColor indexed="64"/>
      </patternFill>
    </fill>
    <fill>
      <patternFill patternType="solid">
        <fgColor theme="5"/>
        <bgColor indexed="64"/>
      </patternFill>
    </fill>
    <fill>
      <patternFill patternType="lightUp"/>
    </fill>
    <fill>
      <patternFill patternType="solid">
        <fgColor theme="8" tint="0.5999938962981048"/>
        <bgColor indexed="64"/>
      </patternFill>
    </fill>
    <fill>
      <patternFill patternType="solid">
        <fgColor theme="0" tint="-0.1499984740745262"/>
        <bgColor indexed="64"/>
      </patternFill>
    </fill>
    <fill>
      <patternFill patternType="solid">
        <fgColor theme="3"/>
        <bgColor indexed="64"/>
      </patternFill>
    </fill>
    <fill>
      <patternFill patternType="solid">
        <fgColor theme="8" tint="0.7999816888943144"/>
        <bgColor indexed="64"/>
      </patternFill>
    </fill>
    <fill>
      <patternFill patternType="solid">
        <fgColor theme="9"/>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77111117893"/>
        <bgColor indexed="64"/>
      </patternFill>
    </fill>
    <fill>
      <patternFill patternType="mediumGray">
        <bgColor theme="0" tint="-0.0499893185216834"/>
      </patternFill>
    </fill>
    <fill>
      <patternFill patternType="solid">
        <fgColor theme="9" tint="0.7999816888943144"/>
        <bgColor indexed="64"/>
      </patternFill>
    </fill>
    <fill>
      <patternFill patternType="solid">
        <fgColor indexed="65"/>
        <bgColor indexed="64"/>
      </patternFill>
    </fill>
    <fill>
      <patternFill patternType="solid">
        <fgColor theme="1" tint="0.249977111117893"/>
        <bgColor indexed="64"/>
      </patternFill>
    </fill>
    <fill>
      <patternFill patternType="solid">
        <fgColor rgb="FFFFFF00"/>
        <bgColor indexed="64"/>
      </patternFill>
    </fill>
    <fill>
      <patternFill patternType="solid">
        <fgColor rgb="FF1F4E78"/>
      </patternFill>
    </fill>
    <fill>
      <patternFill patternType="solid">
        <fgColor rgb="FFD9E1F2"/>
      </patternFill>
    </fill>
    <fill>
      <patternFill patternType="solid">
        <fgColor rgb="FFE2EFDA"/>
      </patternFill>
    </fill>
    <fill>
      <patternFill patternType="solid">
        <fgColor rgb="FF548235"/>
      </patternFill>
    </fill>
    <fill>
      <patternFill patternType="solid">
        <fgColor rgb="FFBF8F00"/>
      </patternFill>
    </fill>
    <fill>
      <patternFill patternType="solid">
        <fgColor rgb="FFC55A11"/>
      </patternFill>
    </fill>
    <fill>
      <patternFill patternType="solid">
        <fgColor rgb="FF7030A0"/>
      </patternFill>
    </fill>
    <fill>
      <patternFill patternType="solid">
        <fgColor rgb="FFFFFFCC"/>
      </patternFill>
    </fill>
    <fill>
      <patternFill patternType="solid">
        <fgColor rgb="FFF2F2F2"/>
      </patternFill>
    </fill>
    <fill>
      <patternFill patternType="solid">
        <fgColor rgb="FFFFFF00"/>
      </patternFill>
    </fill>
    <fill>
      <patternFill patternType="solid">
        <fgColor rgb="FF375623"/>
      </patternFill>
    </fill>
  </fills>
  <borders count="17">
    <border>
      <left/>
      <right/>
      <top/>
      <bottom/>
      <diagonal/>
    </border>
    <border>
      <left/>
      <right/>
      <top style="thin">
        <color indexed="64"/>
      </top>
      <bottom style="thin">
        <color indexed="64"/>
      </bottom>
      <diagonal/>
    </border>
    <border>
      <left/>
      <right/>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dashed">
        <color indexed="64"/>
      </right>
      <top/>
      <bottom/>
      <diagonal/>
    </border>
    <border>
      <left/>
      <right/>
      <top style="thin">
        <color indexed="64"/>
      </top>
      <bottom/>
      <diagonal/>
    </border>
    <border>
      <left style="dashed">
        <color indexed="64"/>
      </left>
      <right style="dashed">
        <color indexed="64"/>
      </right>
      <top style="thin">
        <color indexed="64"/>
      </top>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diagonal/>
    </border>
    <border>
      <left/>
      <right style="thin">
        <color rgb="FFBFBFBF"/>
      </right>
      <top style="thin">
        <color rgb="FFBFBFBF"/>
      </top>
      <bottom/>
      <diagonal/>
    </border>
    <border>
      <left style="thin">
        <color rgb="FFBFBFBF"/>
      </left>
      <right style="thin">
        <color rgb="FFBFBFBF"/>
      </right>
      <top style="thin">
        <color rgb="FFBFBFBF"/>
      </top>
      <bottom style="thin">
        <color rgb="FFBFBFBF"/>
      </bottom>
    </border>
  </borders>
  <cellStyleXfs count="5">
    <xf numFmtId="0" fontId="1" fillId="0" borderId="0"/>
    <xf numFmtId="0" fontId="1" fillId="0" borderId="0"/>
    <xf numFmtId="0" fontId="3" fillId="0" borderId="0"/>
    <xf numFmtId="0" fontId="2" fillId="0" borderId="0"/>
    <xf numFmtId="9" fontId="1" fillId="0" borderId="0"/>
  </cellStyleXfs>
  <cellXfs count="279">
    <xf numFmtId="0" fontId="0" fillId="0" borderId="0" pivotButton="0" quotePrefix="0" xfId="0"/>
    <xf numFmtId="164" fontId="5" fillId="0" borderId="0" applyAlignment="1" pivotButton="0" quotePrefix="0" xfId="0">
      <alignment horizontal="center" vertical="center"/>
    </xf>
    <xf numFmtId="164" fontId="8" fillId="0" borderId="0" applyAlignment="1" pivotButton="0" quotePrefix="0" xfId="0">
      <alignment horizontal="center" vertical="center"/>
    </xf>
    <xf numFmtId="164" fontId="6" fillId="2" borderId="1" applyAlignment="1" pivotButton="0" quotePrefix="0" xfId="0">
      <alignment horizontal="center" vertical="center"/>
    </xf>
    <xf numFmtId="164" fontId="5" fillId="0" borderId="1" applyAlignment="1" pivotButton="0" quotePrefix="0" xfId="0">
      <alignment horizontal="center" vertical="center"/>
    </xf>
    <xf numFmtId="165" fontId="4" fillId="3" borderId="1" applyAlignment="1" pivotButton="0" quotePrefix="0" xfId="0">
      <alignment horizontal="center" vertical="center"/>
    </xf>
    <xf numFmtId="166" fontId="9" fillId="9" borderId="0" applyAlignment="1" pivotButton="0" quotePrefix="0" xfId="1">
      <alignment horizontal="right" vertical="center"/>
    </xf>
    <xf numFmtId="166" fontId="9" fillId="9" borderId="0" applyAlignment="1" pivotButton="0" quotePrefix="0" xfId="1">
      <alignment horizontal="center" vertical="center"/>
    </xf>
    <xf numFmtId="166" fontId="2" fillId="0" borderId="0" applyAlignment="1" pivotButton="0" quotePrefix="0" xfId="1">
      <alignment horizontal="center" vertical="center"/>
    </xf>
    <xf numFmtId="166" fontId="9" fillId="4" borderId="0" applyAlignment="1" pivotButton="0" quotePrefix="0" xfId="1">
      <alignment horizontal="right" vertical="center"/>
    </xf>
    <xf numFmtId="166" fontId="10" fillId="4" borderId="0" applyAlignment="1" pivotButton="0" quotePrefix="0" xfId="1">
      <alignment horizontal="right" vertical="center"/>
    </xf>
    <xf numFmtId="166" fontId="10" fillId="4" borderId="0" applyAlignment="1" pivotButton="0" quotePrefix="0" xfId="1">
      <alignment horizontal="center" vertical="center"/>
    </xf>
    <xf numFmtId="166" fontId="11" fillId="0" borderId="0" applyAlignment="1" pivotButton="0" quotePrefix="0" xfId="1">
      <alignment horizontal="right" vertical="center"/>
    </xf>
    <xf numFmtId="166" fontId="2" fillId="0" borderId="0" applyAlignment="1" pivotButton="0" quotePrefix="0" xfId="1">
      <alignment horizontal="right" vertical="center"/>
    </xf>
    <xf numFmtId="166" fontId="9" fillId="9" borderId="1" applyAlignment="1" pivotButton="0" quotePrefix="0" xfId="1">
      <alignment horizontal="right" vertical="center"/>
    </xf>
    <xf numFmtId="166" fontId="9" fillId="9" borderId="1" applyAlignment="1" pivotButton="0" quotePrefix="0" xfId="1">
      <alignment horizontal="center" vertical="center"/>
    </xf>
    <xf numFmtId="166" fontId="12" fillId="0" borderId="0" applyAlignment="1" pivotButton="0" quotePrefix="0" xfId="1">
      <alignment horizontal="center" vertical="center"/>
    </xf>
    <xf numFmtId="167" fontId="2" fillId="0" borderId="0" applyAlignment="1" pivotButton="0" quotePrefix="0" xfId="1">
      <alignment horizontal="center" vertical="center"/>
    </xf>
    <xf numFmtId="166" fontId="11" fillId="2" borderId="1" applyAlignment="1" pivotButton="0" quotePrefix="0" xfId="1">
      <alignment horizontal="right" vertical="center"/>
    </xf>
    <xf numFmtId="166" fontId="11" fillId="2" borderId="1" applyAlignment="1" pivotButton="0" quotePrefix="0" xfId="1">
      <alignment horizontal="center" vertical="center"/>
    </xf>
    <xf numFmtId="165" fontId="12" fillId="0" borderId="0" applyAlignment="1" pivotButton="0" quotePrefix="0" xfId="1">
      <alignment horizontal="center" vertical="center"/>
    </xf>
    <xf numFmtId="165" fontId="13" fillId="0" borderId="0" applyAlignment="1" pivotButton="0" quotePrefix="0" xfId="1">
      <alignment horizontal="center" vertical="center"/>
    </xf>
    <xf numFmtId="166" fontId="2" fillId="6" borderId="0" applyAlignment="1" pivotButton="0" quotePrefix="0" xfId="1">
      <alignment horizontal="center" vertical="center"/>
    </xf>
    <xf numFmtId="166" fontId="9" fillId="3" borderId="1" applyAlignment="1" pivotButton="0" quotePrefix="0" xfId="1">
      <alignment horizontal="right" vertical="center"/>
    </xf>
    <xf numFmtId="166" fontId="9" fillId="3" borderId="1" applyAlignment="1" pivotButton="0" quotePrefix="0" xfId="1">
      <alignment horizontal="center" vertical="center"/>
    </xf>
    <xf numFmtId="166" fontId="2" fillId="0" borderId="2" applyAlignment="1" pivotButton="0" quotePrefix="0" xfId="1">
      <alignment horizontal="right" vertical="center"/>
    </xf>
    <xf numFmtId="166" fontId="2" fillId="0" borderId="2" applyAlignment="1" pivotButton="0" quotePrefix="0" xfId="1">
      <alignment horizontal="center" vertical="center"/>
    </xf>
    <xf numFmtId="166" fontId="2" fillId="6" borderId="2" applyAlignment="1" pivotButton="0" quotePrefix="0" xfId="1">
      <alignment horizontal="center" vertical="center"/>
    </xf>
    <xf numFmtId="166" fontId="13" fillId="6" borderId="0" applyAlignment="1" pivotButton="0" quotePrefix="0" xfId="1">
      <alignment horizontal="center" vertical="center"/>
    </xf>
    <xf numFmtId="166" fontId="11" fillId="0" borderId="1" applyAlignment="1" pivotButton="0" quotePrefix="0" xfId="1">
      <alignment horizontal="right" vertical="center"/>
    </xf>
    <xf numFmtId="165" fontId="12" fillId="0" borderId="2" applyAlignment="1" pivotButton="0" quotePrefix="0" xfId="1">
      <alignment horizontal="center" vertical="center"/>
    </xf>
    <xf numFmtId="165" fontId="11" fillId="2" borderId="1" applyAlignment="1" pivotButton="0" quotePrefix="0" xfId="1">
      <alignment horizontal="center" vertical="center"/>
    </xf>
    <xf numFmtId="166" fontId="11" fillId="0" borderId="2" applyAlignment="1" pivotButton="0" quotePrefix="0" xfId="1">
      <alignment horizontal="center" vertical="center"/>
    </xf>
    <xf numFmtId="166" fontId="15" fillId="0" borderId="0" applyAlignment="1" pivotButton="0" quotePrefix="0" xfId="1">
      <alignment horizontal="center" vertical="center"/>
    </xf>
    <xf numFmtId="166" fontId="13" fillId="0" borderId="0" applyAlignment="1" pivotButton="0" quotePrefix="0" xfId="1">
      <alignment horizontal="center" vertical="center"/>
    </xf>
    <xf numFmtId="166" fontId="14" fillId="2" borderId="1" applyAlignment="1" pivotButton="0" quotePrefix="0" xfId="1">
      <alignment horizontal="center" vertical="center"/>
    </xf>
    <xf numFmtId="166" fontId="9" fillId="9" borderId="5" applyAlignment="1" pivotButton="0" quotePrefix="0" xfId="1">
      <alignment horizontal="right" vertical="center"/>
    </xf>
    <xf numFmtId="166" fontId="9" fillId="9" borderId="5" applyAlignment="1" pivotButton="0" quotePrefix="0" xfId="1">
      <alignment horizontal="center" vertical="center"/>
    </xf>
    <xf numFmtId="166" fontId="11" fillId="0" borderId="5" applyAlignment="1" pivotButton="0" quotePrefix="0" xfId="1">
      <alignment horizontal="right" vertical="center"/>
    </xf>
    <xf numFmtId="166" fontId="11" fillId="0" borderId="5" applyAlignment="1" pivotButton="0" quotePrefix="0" xfId="1">
      <alignment horizontal="center" vertical="center"/>
    </xf>
    <xf numFmtId="166" fontId="11" fillId="0" borderId="2" applyAlignment="1" pivotButton="0" quotePrefix="0" xfId="1">
      <alignment horizontal="right" vertical="center"/>
    </xf>
    <xf numFmtId="166" fontId="14" fillId="8" borderId="1" applyAlignment="1" pivotButton="0" quotePrefix="0" xfId="1">
      <alignment horizontal="right" vertical="center"/>
    </xf>
    <xf numFmtId="166" fontId="14" fillId="8" borderId="3" applyAlignment="1" pivotButton="0" quotePrefix="0" xfId="1">
      <alignment horizontal="center" vertical="center"/>
    </xf>
    <xf numFmtId="166" fontId="14" fillId="8" borderId="1" applyAlignment="1" pivotButton="0" quotePrefix="0" xfId="1">
      <alignment horizontal="center" vertical="center"/>
    </xf>
    <xf numFmtId="166" fontId="13" fillId="0" borderId="5" applyAlignment="1" pivotButton="0" quotePrefix="0" xfId="1">
      <alignment horizontal="right" vertical="center"/>
    </xf>
    <xf numFmtId="165" fontId="8" fillId="6" borderId="5" applyAlignment="1" pivotButton="0" quotePrefix="0" xfId="0">
      <alignment horizontal="center" vertical="center"/>
    </xf>
    <xf numFmtId="165" fontId="12" fillId="0" borderId="5" applyAlignment="1" pivotButton="0" quotePrefix="0" xfId="1">
      <alignment horizontal="center" vertical="center"/>
    </xf>
    <xf numFmtId="166" fontId="13" fillId="0" borderId="0" applyAlignment="1" pivotButton="0" quotePrefix="0" xfId="1">
      <alignment horizontal="right" vertical="center"/>
    </xf>
    <xf numFmtId="166" fontId="13" fillId="0" borderId="4" applyAlignment="1" pivotButton="0" quotePrefix="0" xfId="1">
      <alignment horizontal="center" vertical="center"/>
    </xf>
    <xf numFmtId="165" fontId="8" fillId="6" borderId="0" applyAlignment="1" pivotButton="0" quotePrefix="0" xfId="0">
      <alignment horizontal="center" vertical="center"/>
    </xf>
    <xf numFmtId="166" fontId="14" fillId="2" borderId="1" applyAlignment="1" pivotButton="0" quotePrefix="0" xfId="1">
      <alignment horizontal="right" vertical="center"/>
    </xf>
    <xf numFmtId="166" fontId="14" fillId="2" borderId="3" applyAlignment="1" pivotButton="0" quotePrefix="0" xfId="1">
      <alignment horizontal="center" vertical="center"/>
    </xf>
    <xf numFmtId="165" fontId="7" fillId="7" borderId="1" applyAlignment="1" pivotButton="0" quotePrefix="0" xfId="0">
      <alignment horizontal="center" vertical="center"/>
    </xf>
    <xf numFmtId="166" fontId="13" fillId="0" borderId="1" applyAlignment="1" pivotButton="0" quotePrefix="0" xfId="1">
      <alignment horizontal="right" vertical="center"/>
    </xf>
    <xf numFmtId="166" fontId="11" fillId="0" borderId="3" applyAlignment="1" pivotButton="0" quotePrefix="0" xfId="1">
      <alignment horizontal="center" vertical="center"/>
    </xf>
    <xf numFmtId="165" fontId="2" fillId="6" borderId="1" applyAlignment="1" pivotButton="0" quotePrefix="0" xfId="1">
      <alignment horizontal="center" vertical="center"/>
    </xf>
    <xf numFmtId="165" fontId="12" fillId="0" borderId="1" applyAlignment="1" pivotButton="0" quotePrefix="0" xfId="1">
      <alignment horizontal="center" vertical="center"/>
    </xf>
    <xf numFmtId="166" fontId="14" fillId="0" borderId="0" applyAlignment="1" pivotButton="0" quotePrefix="0" xfId="1">
      <alignment horizontal="right" vertical="center"/>
    </xf>
    <xf numFmtId="168" fontId="13" fillId="0" borderId="0" applyAlignment="1" pivotButton="0" quotePrefix="0" xfId="1">
      <alignment horizontal="right" vertical="center"/>
    </xf>
    <xf numFmtId="166" fontId="9" fillId="10" borderId="1" applyAlignment="1" pivotButton="0" quotePrefix="0" xfId="1">
      <alignment horizontal="right" vertical="center"/>
    </xf>
    <xf numFmtId="166" fontId="9" fillId="10" borderId="1" applyAlignment="1" pivotButton="0" quotePrefix="0" xfId="1">
      <alignment horizontal="center" vertical="center"/>
    </xf>
    <xf numFmtId="164" fontId="6" fillId="13" borderId="1" applyAlignment="1" pivotButton="0" quotePrefix="0" xfId="0">
      <alignment horizontal="center" vertical="center"/>
    </xf>
    <xf numFmtId="167" fontId="12" fillId="0" borderId="2" applyAlignment="1" pivotButton="0" quotePrefix="0" xfId="1">
      <alignment horizontal="center" vertical="center"/>
    </xf>
    <xf numFmtId="166" fontId="9" fillId="14" borderId="1" applyAlignment="1" pivotButton="0" quotePrefix="0" xfId="1">
      <alignment horizontal="right" vertical="center"/>
    </xf>
    <xf numFmtId="166" fontId="12" fillId="5" borderId="2" applyAlignment="1" pivotButton="0" quotePrefix="0" xfId="1">
      <alignment horizontal="center" vertical="center"/>
    </xf>
    <xf numFmtId="166" fontId="13" fillId="0" borderId="2" applyAlignment="1" pivotButton="0" quotePrefix="0" xfId="1">
      <alignment horizontal="center" vertical="center"/>
    </xf>
    <xf numFmtId="167" fontId="8" fillId="0" borderId="0" applyAlignment="1" pivotButton="0" quotePrefix="0" xfId="0">
      <alignment horizontal="center" vertical="center"/>
    </xf>
    <xf numFmtId="164" fontId="8" fillId="0" borderId="5" applyAlignment="1" pivotButton="0" quotePrefix="0" xfId="0">
      <alignment horizontal="center" vertical="center"/>
    </xf>
    <xf numFmtId="166" fontId="9" fillId="3" borderId="2" applyAlignment="1" pivotButton="0" quotePrefix="0" xfId="1">
      <alignment horizontal="right" vertical="center"/>
    </xf>
    <xf numFmtId="169" fontId="2" fillId="0" borderId="0" applyAlignment="1" pivotButton="0" quotePrefix="0" xfId="1">
      <alignment horizontal="center" vertical="center"/>
    </xf>
    <xf numFmtId="166" fontId="2" fillId="0" borderId="5" applyAlignment="1" pivotButton="0" quotePrefix="0" xfId="1">
      <alignment horizontal="center" vertical="center"/>
    </xf>
    <xf numFmtId="168" fontId="9" fillId="9" borderId="5" applyAlignment="1" pivotButton="0" quotePrefix="0" xfId="1">
      <alignment horizontal="center" vertical="center"/>
    </xf>
    <xf numFmtId="166" fontId="11" fillId="0" borderId="1" applyAlignment="1" pivotButton="0" quotePrefix="0" xfId="1">
      <alignment horizontal="center" vertical="center"/>
    </xf>
    <xf numFmtId="166" fontId="4" fillId="9" borderId="5" applyAlignment="1" pivotButton="0" quotePrefix="0" xfId="0">
      <alignment horizontal="right" vertical="center"/>
    </xf>
    <xf numFmtId="166" fontId="4" fillId="9" borderId="5" applyAlignment="1" pivotButton="0" quotePrefix="0" xfId="0">
      <alignment horizontal="center" vertical="center"/>
    </xf>
    <xf numFmtId="166" fontId="4" fillId="17" borderId="1" applyAlignment="1" pivotButton="0" quotePrefix="0" xfId="0">
      <alignment horizontal="right" vertical="center"/>
    </xf>
    <xf numFmtId="166" fontId="18" fillId="17" borderId="1" applyAlignment="1" pivotButton="0" quotePrefix="0" xfId="0">
      <alignment horizontal="center" vertical="center"/>
    </xf>
    <xf numFmtId="166" fontId="4" fillId="17" borderId="1" applyAlignment="1" pivotButton="0" quotePrefix="0" xfId="0">
      <alignment horizontal="center" vertical="center"/>
    </xf>
    <xf numFmtId="166" fontId="1" fillId="0" borderId="0" applyAlignment="1" pivotButton="0" quotePrefix="0" xfId="0">
      <alignment horizontal="right" vertical="center"/>
    </xf>
    <xf numFmtId="166" fontId="1" fillId="0" borderId="0" applyAlignment="1" pivotButton="0" quotePrefix="0" xfId="0">
      <alignment horizontal="center" vertical="center"/>
    </xf>
    <xf numFmtId="165" fontId="1" fillId="0" borderId="0" applyAlignment="1" pivotButton="0" quotePrefix="0" xfId="0">
      <alignment horizontal="center" vertical="center"/>
    </xf>
    <xf numFmtId="166" fontId="2" fillId="0" borderId="5" applyAlignment="1" pivotButton="0" quotePrefix="0" xfId="1">
      <alignment horizontal="right" vertical="center"/>
    </xf>
    <xf numFmtId="166" fontId="18" fillId="2" borderId="1" applyAlignment="1" pivotButton="0" quotePrefix="0" xfId="0">
      <alignment horizontal="right" vertical="center"/>
    </xf>
    <xf numFmtId="166" fontId="18" fillId="2" borderId="1" applyAlignment="1" pivotButton="0" quotePrefix="0" xfId="0">
      <alignment horizontal="center" vertical="center"/>
    </xf>
    <xf numFmtId="165" fontId="18" fillId="2" borderId="1" applyAlignment="1" pivotButton="0" quotePrefix="0" xfId="0">
      <alignment horizontal="center" vertical="center"/>
    </xf>
    <xf numFmtId="165" fontId="18" fillId="17" borderId="1" applyAlignment="1" pivotButton="0" quotePrefix="0" xfId="0">
      <alignment horizontal="center" vertical="center"/>
    </xf>
    <xf numFmtId="166" fontId="5" fillId="0" borderId="0" applyAlignment="1" pivotButton="0" quotePrefix="0" xfId="0">
      <alignment horizontal="right" vertical="center"/>
    </xf>
    <xf numFmtId="167" fontId="9" fillId="3" borderId="1" applyAlignment="1" pivotButton="0" quotePrefix="0" xfId="1">
      <alignment horizontal="center" vertical="center"/>
    </xf>
    <xf numFmtId="166" fontId="2" fillId="2" borderId="1" applyAlignment="1" pivotButton="0" quotePrefix="0" xfId="1">
      <alignment horizontal="right" vertical="center"/>
    </xf>
    <xf numFmtId="166" fontId="2" fillId="2" borderId="1" applyAlignment="1" pivotButton="0" quotePrefix="0" xfId="1">
      <alignment horizontal="center" vertical="center"/>
    </xf>
    <xf numFmtId="166" fontId="4" fillId="3" borderId="1" applyAlignment="1" pivotButton="0" quotePrefix="0" xfId="0">
      <alignment horizontal="right" vertical="center"/>
    </xf>
    <xf numFmtId="166" fontId="4" fillId="3" borderId="1" applyAlignment="1" pivotButton="0" quotePrefix="0" xfId="0">
      <alignment horizontal="center" vertical="center"/>
    </xf>
    <xf numFmtId="166" fontId="14" fillId="5" borderId="3" applyAlignment="1" pivotButton="0" quotePrefix="0" xfId="1">
      <alignment horizontal="center" vertical="center"/>
    </xf>
    <xf numFmtId="167" fontId="2" fillId="0" borderId="4" applyAlignment="1" pivotButton="0" quotePrefix="0" xfId="1">
      <alignment horizontal="center" vertical="center"/>
    </xf>
    <xf numFmtId="167" fontId="9" fillId="14" borderId="3" applyAlignment="1" pivotButton="0" quotePrefix="0" xfId="1">
      <alignment horizontal="center" vertical="center"/>
    </xf>
    <xf numFmtId="168" fontId="13" fillId="5" borderId="4" applyAlignment="1" pivotButton="0" quotePrefix="0" xfId="1">
      <alignment horizontal="center" vertical="center"/>
    </xf>
    <xf numFmtId="166" fontId="14" fillId="13" borderId="1" applyAlignment="1" pivotButton="0" quotePrefix="0" xfId="1">
      <alignment horizontal="right" vertical="center"/>
    </xf>
    <xf numFmtId="166" fontId="14" fillId="13" borderId="1" applyAlignment="1" pivotButton="0" quotePrefix="0" xfId="1">
      <alignment horizontal="center" vertical="center"/>
    </xf>
    <xf numFmtId="164" fontId="4" fillId="9" borderId="5" applyAlignment="1" pivotButton="0" quotePrefix="0" xfId="0">
      <alignment horizontal="right" vertical="center" wrapText="1"/>
    </xf>
    <xf numFmtId="164" fontId="4" fillId="9" borderId="5" applyAlignment="1" pivotButton="0" quotePrefix="0" xfId="0">
      <alignment horizontal="center" vertical="center" wrapText="1"/>
    </xf>
    <xf numFmtId="164" fontId="6" fillId="2" borderId="1" applyAlignment="1" pivotButton="0" quotePrefix="0" xfId="0">
      <alignment horizontal="right" vertical="center" wrapText="1"/>
    </xf>
    <xf numFmtId="164" fontId="6" fillId="0" borderId="0" applyAlignment="1" pivotButton="0" quotePrefix="0" xfId="0">
      <alignment horizontal="right" vertical="center" wrapText="1"/>
    </xf>
    <xf numFmtId="165" fontId="8" fillId="0" borderId="0" applyAlignment="1" pivotButton="0" quotePrefix="0" xfId="4">
      <alignment horizontal="center" vertical="center"/>
    </xf>
    <xf numFmtId="170" fontId="5" fillId="0" borderId="0" applyAlignment="1" pivotButton="0" quotePrefix="0" xfId="0">
      <alignment horizontal="center" vertical="center"/>
    </xf>
    <xf numFmtId="171" fontId="8" fillId="0" borderId="0" applyAlignment="1" pivotButton="0" quotePrefix="0" xfId="0">
      <alignment horizontal="center" vertical="center"/>
    </xf>
    <xf numFmtId="164" fontId="4" fillId="18" borderId="1" applyAlignment="1" pivotButton="0" quotePrefix="0" xfId="0">
      <alignment horizontal="right" vertical="center" wrapText="1"/>
    </xf>
    <xf numFmtId="164" fontId="4" fillId="18" borderId="1" applyAlignment="1" pivotButton="0" quotePrefix="0" xfId="0">
      <alignment horizontal="center" vertical="center"/>
    </xf>
    <xf numFmtId="164" fontId="5" fillId="0" borderId="0" applyAlignment="1" pivotButton="0" quotePrefix="0" xfId="0">
      <alignment horizontal="right" vertical="center" wrapText="1"/>
    </xf>
    <xf numFmtId="164" fontId="6" fillId="0" borderId="1" applyAlignment="1" pivotButton="0" quotePrefix="0" xfId="0">
      <alignment horizontal="right" vertical="center" wrapText="1"/>
    </xf>
    <xf numFmtId="164" fontId="6" fillId="15" borderId="1" applyAlignment="1" pivotButton="0" quotePrefix="0" xfId="0">
      <alignment horizontal="right" vertical="center" wrapText="1"/>
    </xf>
    <xf numFmtId="170" fontId="6" fillId="15" borderId="1" applyAlignment="1" pivotButton="0" quotePrefix="0" xfId="0">
      <alignment horizontal="center" vertical="center"/>
    </xf>
    <xf numFmtId="165" fontId="2" fillId="0" borderId="0" applyAlignment="1" pivotButton="0" quotePrefix="0" xfId="1">
      <alignment horizontal="center" vertical="center"/>
    </xf>
    <xf numFmtId="166" fontId="13" fillId="0" borderId="5" applyAlignment="1" pivotButton="0" quotePrefix="0" xfId="1">
      <alignment horizontal="center" vertical="center"/>
    </xf>
    <xf numFmtId="166" fontId="13" fillId="5" borderId="0" applyAlignment="1" pivotButton="0" quotePrefix="0" xfId="1">
      <alignment horizontal="center" vertical="center"/>
    </xf>
    <xf numFmtId="166" fontId="14" fillId="19" borderId="1" applyAlignment="1" pivotButton="0" quotePrefix="0" xfId="1">
      <alignment horizontal="right" vertical="center"/>
    </xf>
    <xf numFmtId="166" fontId="14" fillId="19" borderId="1" applyAlignment="1" pivotButton="0" quotePrefix="0" xfId="1">
      <alignment horizontal="center" vertical="center"/>
    </xf>
    <xf numFmtId="167" fontId="14" fillId="0" borderId="0" applyAlignment="1" pivotButton="0" quotePrefix="0" xfId="1">
      <alignment horizontal="center" vertical="center"/>
    </xf>
    <xf numFmtId="10" fontId="2" fillId="0" borderId="0" applyAlignment="1" pivotButton="0" quotePrefix="0" xfId="4">
      <alignment horizontal="center" vertical="center"/>
    </xf>
    <xf numFmtId="165" fontId="12" fillId="5" borderId="1" applyAlignment="1" pivotButton="0" quotePrefix="0" xfId="1">
      <alignment horizontal="center" vertical="center"/>
    </xf>
    <xf numFmtId="166" fontId="9" fillId="9" borderId="8" applyAlignment="1" pivotButton="0" quotePrefix="0" xfId="1">
      <alignment horizontal="center" vertical="center"/>
    </xf>
    <xf numFmtId="166" fontId="9" fillId="10" borderId="7" applyAlignment="1" pivotButton="0" quotePrefix="0" xfId="1">
      <alignment horizontal="center" vertical="center"/>
    </xf>
    <xf numFmtId="166" fontId="2" fillId="0" borderId="10" applyAlignment="1" pivotButton="0" quotePrefix="0" xfId="1">
      <alignment horizontal="center" vertical="center"/>
    </xf>
    <xf numFmtId="165" fontId="12" fillId="0" borderId="10" applyAlignment="1" pivotButton="0" quotePrefix="0" xfId="1">
      <alignment horizontal="center" vertical="center"/>
    </xf>
    <xf numFmtId="166" fontId="11" fillId="0" borderId="8" applyAlignment="1" pivotButton="0" quotePrefix="0" xfId="1">
      <alignment horizontal="center" vertical="center"/>
    </xf>
    <xf numFmtId="166" fontId="11" fillId="2" borderId="7" applyAlignment="1" pivotButton="0" quotePrefix="0" xfId="1">
      <alignment horizontal="center" vertical="center"/>
    </xf>
    <xf numFmtId="166" fontId="17" fillId="10" borderId="7" applyAlignment="1" pivotButton="0" quotePrefix="0" xfId="1">
      <alignment horizontal="center" vertical="center"/>
    </xf>
    <xf numFmtId="166" fontId="12" fillId="5" borderId="10" applyAlignment="1" pivotButton="0" quotePrefix="0" xfId="1">
      <alignment horizontal="center" vertical="center"/>
    </xf>
    <xf numFmtId="166" fontId="16" fillId="0" borderId="0" applyAlignment="1" pivotButton="0" quotePrefix="0" xfId="1">
      <alignment horizontal="center" vertical="center"/>
    </xf>
    <xf numFmtId="168" fontId="16" fillId="0" borderId="10" applyAlignment="1" pivotButton="0" quotePrefix="0" xfId="1">
      <alignment horizontal="center" vertical="center"/>
    </xf>
    <xf numFmtId="166" fontId="14" fillId="13" borderId="7" applyAlignment="1" pivotButton="0" quotePrefix="0" xfId="1">
      <alignment horizontal="center" vertical="center"/>
    </xf>
    <xf numFmtId="165" fontId="13" fillId="0" borderId="10" applyAlignment="1" pivotButton="0" quotePrefix="0" xfId="1">
      <alignment horizontal="center" vertical="center"/>
    </xf>
    <xf numFmtId="165" fontId="12" fillId="11" borderId="0" applyAlignment="1" pivotButton="0" quotePrefix="0" xfId="1">
      <alignment horizontal="center" vertical="center"/>
    </xf>
    <xf numFmtId="166" fontId="2" fillId="11" borderId="0" applyAlignment="1" pivotButton="0" quotePrefix="0" xfId="1">
      <alignment horizontal="center" vertical="center"/>
    </xf>
    <xf numFmtId="165" fontId="12" fillId="5" borderId="10" applyAlignment="1" pivotButton="0" quotePrefix="0" xfId="1">
      <alignment horizontal="center" vertical="center"/>
    </xf>
    <xf numFmtId="166" fontId="19" fillId="5" borderId="10" applyAlignment="1" pivotButton="0" quotePrefix="0" xfId="1">
      <alignment horizontal="center" vertical="center"/>
    </xf>
    <xf numFmtId="166" fontId="12" fillId="0" borderId="10" applyAlignment="1" pivotButton="0" quotePrefix="0" xfId="1">
      <alignment horizontal="center" vertical="center"/>
    </xf>
    <xf numFmtId="167" fontId="11" fillId="2" borderId="7" applyAlignment="1" pivotButton="0" quotePrefix="0" xfId="1">
      <alignment horizontal="center" vertical="center"/>
    </xf>
    <xf numFmtId="166" fontId="9" fillId="3" borderId="7" applyAlignment="1" pivotButton="0" quotePrefix="0" xfId="1">
      <alignment horizontal="center" vertical="center"/>
    </xf>
    <xf numFmtId="165" fontId="13" fillId="0" borderId="9" applyAlignment="1" pivotButton="0" quotePrefix="0" xfId="1">
      <alignment horizontal="center" vertical="center"/>
    </xf>
    <xf numFmtId="166" fontId="11" fillId="16" borderId="1" applyAlignment="1" pivotButton="0" quotePrefix="0" xfId="1">
      <alignment horizontal="center" vertical="center"/>
    </xf>
    <xf numFmtId="166" fontId="12" fillId="0" borderId="5" applyAlignment="1" pivotButton="0" quotePrefix="0" xfId="1">
      <alignment horizontal="center" vertical="center"/>
    </xf>
    <xf numFmtId="166" fontId="5" fillId="0" borderId="2" applyAlignment="1" pivotButton="0" quotePrefix="0" xfId="0">
      <alignment horizontal="right" vertical="center"/>
    </xf>
    <xf numFmtId="166" fontId="9" fillId="3" borderId="2" applyAlignment="1" pivotButton="0" quotePrefix="0" xfId="1">
      <alignment horizontal="center" vertical="center"/>
    </xf>
    <xf numFmtId="166" fontId="2" fillId="0" borderId="0" applyAlignment="1" pivotButton="0" quotePrefix="1" xfId="1">
      <alignment horizontal="center" vertical="center"/>
    </xf>
    <xf numFmtId="166" fontId="18" fillId="13" borderId="1" applyAlignment="1" pivotButton="0" quotePrefix="0" xfId="0">
      <alignment horizontal="right" vertical="center"/>
    </xf>
    <xf numFmtId="166" fontId="18" fillId="13" borderId="1" applyAlignment="1" pivotButton="0" quotePrefix="0" xfId="0">
      <alignment horizontal="center" vertical="center"/>
    </xf>
    <xf numFmtId="165" fontId="18" fillId="13" borderId="1" applyAlignment="1" pivotButton="0" quotePrefix="0" xfId="0">
      <alignment horizontal="center" vertical="center"/>
    </xf>
    <xf numFmtId="166" fontId="14" fillId="12" borderId="1" applyAlignment="1" pivotButton="0" quotePrefix="0" xfId="1">
      <alignment horizontal="right" vertical="center"/>
    </xf>
    <xf numFmtId="166" fontId="14" fillId="12" borderId="3" applyAlignment="1" pivotButton="0" quotePrefix="0" xfId="1">
      <alignment horizontal="center" vertical="center"/>
    </xf>
    <xf numFmtId="166" fontId="14" fillId="12" borderId="1" applyAlignment="1" pivotButton="0" quotePrefix="0" xfId="1">
      <alignment horizontal="center" vertical="center"/>
    </xf>
    <xf numFmtId="166" fontId="9" fillId="0" borderId="0" applyAlignment="1" pivotButton="0" quotePrefix="0" xfId="1">
      <alignment horizontal="right" vertical="center"/>
    </xf>
    <xf numFmtId="166" fontId="9" fillId="0" borderId="0" applyAlignment="1" pivotButton="0" quotePrefix="0" xfId="1">
      <alignment horizontal="center" vertical="center"/>
    </xf>
    <xf numFmtId="166" fontId="12" fillId="5" borderId="0" applyAlignment="1" pivotButton="0" quotePrefix="0" xfId="1">
      <alignment horizontal="center" vertical="center"/>
    </xf>
    <xf numFmtId="166" fontId="11" fillId="0" borderId="0" applyAlignment="1" pivotButton="0" quotePrefix="0" xfId="1">
      <alignment horizontal="center" vertical="center"/>
    </xf>
    <xf numFmtId="166" fontId="14" fillId="0" borderId="2" applyAlignment="1" pivotButton="0" quotePrefix="0" xfId="1">
      <alignment horizontal="right" vertical="center"/>
    </xf>
    <xf numFmtId="166" fontId="14" fillId="0" borderId="2" applyAlignment="1" pivotButton="0" quotePrefix="0" xfId="1">
      <alignment horizontal="center" vertical="center"/>
    </xf>
    <xf numFmtId="166" fontId="14" fillId="20" borderId="2" applyAlignment="1" pivotButton="0" quotePrefix="0" xfId="1">
      <alignment horizontal="center" vertical="center"/>
    </xf>
    <xf numFmtId="166" fontId="11" fillId="0" borderId="10" applyAlignment="1" pivotButton="0" quotePrefix="0" xfId="1">
      <alignment horizontal="center" vertical="center"/>
    </xf>
    <xf numFmtId="164" fontId="4" fillId="9" borderId="6" applyAlignment="1" pivotButton="0" quotePrefix="0" xfId="0">
      <alignment horizontal="center" vertical="center" wrapText="1"/>
    </xf>
    <xf numFmtId="172" fontId="12" fillId="0" borderId="0" applyAlignment="1" pivotButton="0" quotePrefix="0" xfId="4">
      <alignment horizontal="center" vertical="center"/>
    </xf>
    <xf numFmtId="164" fontId="18" fillId="2" borderId="1" applyAlignment="1" pivotButton="0" quotePrefix="0" xfId="0">
      <alignment horizontal="center" vertical="center"/>
    </xf>
    <xf numFmtId="164" fontId="6" fillId="2" borderId="3" applyAlignment="1" pivotButton="0" quotePrefix="0" xfId="0">
      <alignment horizontal="center" vertical="center"/>
    </xf>
    <xf numFmtId="165" fontId="5" fillId="0" borderId="4" applyAlignment="1" pivotButton="0" quotePrefix="0" xfId="4">
      <alignment horizontal="center" vertical="center"/>
    </xf>
    <xf numFmtId="164" fontId="5" fillId="0" borderId="4" applyAlignment="1" pivotButton="0" quotePrefix="0" xfId="0">
      <alignment horizontal="center" vertical="center"/>
    </xf>
    <xf numFmtId="169" fontId="2" fillId="0" borderId="4" applyAlignment="1" pivotButton="0" quotePrefix="0" xfId="1">
      <alignment horizontal="center" vertical="center"/>
    </xf>
    <xf numFmtId="166" fontId="11" fillId="21" borderId="1" applyAlignment="1" pivotButton="0" quotePrefix="0" xfId="1">
      <alignment horizontal="right" vertical="center"/>
    </xf>
    <xf numFmtId="9" fontId="11" fillId="21" borderId="1" applyAlignment="1" pivotButton="0" quotePrefix="0" xfId="4">
      <alignment horizontal="center" vertical="center"/>
    </xf>
    <xf numFmtId="9" fontId="11" fillId="21" borderId="3" applyAlignment="1" pivotButton="0" quotePrefix="0" xfId="4">
      <alignment horizontal="center" vertical="center"/>
    </xf>
    <xf numFmtId="170" fontId="5" fillId="0" borderId="4" applyAlignment="1" pivotButton="0" quotePrefix="0" xfId="0">
      <alignment horizontal="center" vertical="center"/>
    </xf>
    <xf numFmtId="172" fontId="8" fillId="0" borderId="0" applyAlignment="1" pivotButton="0" quotePrefix="0" xfId="4">
      <alignment horizontal="center" vertical="center"/>
    </xf>
    <xf numFmtId="164" fontId="5" fillId="11" borderId="4" applyAlignment="1" pivotButton="0" quotePrefix="0" xfId="0">
      <alignment horizontal="center" vertical="center"/>
    </xf>
    <xf numFmtId="164" fontId="6" fillId="13" borderId="1" applyAlignment="1" pivotButton="0" quotePrefix="0" xfId="0">
      <alignment horizontal="right" vertical="center" wrapText="1"/>
    </xf>
    <xf numFmtId="164" fontId="6" fillId="13" borderId="3" applyAlignment="1" pivotButton="0" quotePrefix="0" xfId="0">
      <alignment horizontal="center" vertical="center"/>
    </xf>
    <xf numFmtId="164" fontId="5" fillId="0" borderId="3" applyAlignment="1" pivotButton="0" quotePrefix="0" xfId="0">
      <alignment horizontal="center" vertical="center"/>
    </xf>
    <xf numFmtId="166" fontId="2" fillId="0" borderId="4" applyAlignment="1" pivotButton="0" quotePrefix="0" xfId="1">
      <alignment horizontal="center" vertical="center"/>
    </xf>
    <xf numFmtId="164" fontId="4" fillId="18" borderId="3" applyAlignment="1" pivotButton="0" quotePrefix="0" xfId="0">
      <alignment horizontal="center" vertical="center"/>
    </xf>
    <xf numFmtId="170" fontId="6" fillId="15" borderId="3" applyAlignment="1" pivotButton="0" quotePrefix="0" xfId="0">
      <alignment horizontal="center" vertical="center"/>
    </xf>
    <xf numFmtId="9" fontId="2" fillId="22" borderId="4" applyAlignment="1" pivotButton="0" quotePrefix="0" xfId="4">
      <alignment horizontal="center" vertical="center"/>
    </xf>
    <xf numFmtId="9" fontId="2" fillId="0" borderId="0" applyAlignment="1" pivotButton="0" quotePrefix="0" xfId="4">
      <alignment horizontal="center" vertical="center"/>
    </xf>
    <xf numFmtId="9" fontId="11" fillId="2" borderId="1" applyAlignment="1" pivotButton="0" quotePrefix="0" xfId="4">
      <alignment horizontal="center" vertical="center"/>
    </xf>
    <xf numFmtId="9" fontId="9" fillId="9" borderId="1" applyAlignment="1" pivotButton="0" quotePrefix="0" xfId="4">
      <alignment horizontal="center" vertical="center"/>
    </xf>
    <xf numFmtId="9" fontId="2" fillId="0" borderId="2" applyAlignment="1" pivotButton="0" quotePrefix="0" xfId="4">
      <alignment horizontal="center" vertical="center"/>
    </xf>
    <xf numFmtId="9" fontId="14" fillId="19" borderId="1" applyAlignment="1" pivotButton="0" quotePrefix="0" xfId="4">
      <alignment horizontal="center" vertical="center"/>
    </xf>
    <xf numFmtId="166" fontId="9" fillId="23" borderId="1" applyAlignment="1" pivotButton="0" quotePrefix="0" xfId="1">
      <alignment horizontal="right" vertical="center"/>
    </xf>
    <xf numFmtId="166" fontId="9" fillId="23" borderId="1" applyAlignment="1" pivotButton="0" quotePrefix="0" xfId="1">
      <alignment horizontal="center" vertical="center"/>
    </xf>
    <xf numFmtId="9" fontId="9" fillId="23" borderId="1" applyAlignment="1" pivotButton="0" quotePrefix="0" xfId="4">
      <alignment horizontal="center" vertical="center"/>
    </xf>
    <xf numFmtId="165" fontId="11" fillId="0" borderId="6" applyAlignment="1" pivotButton="0" quotePrefix="0" xfId="1">
      <alignment horizontal="center" vertical="center"/>
    </xf>
    <xf numFmtId="166" fontId="13" fillId="5" borderId="4" applyAlignment="1" pivotButton="0" quotePrefix="0" xfId="1">
      <alignment horizontal="center" vertical="center"/>
    </xf>
    <xf numFmtId="166" fontId="9" fillId="23" borderId="3" applyAlignment="1" pivotButton="0" quotePrefix="0" xfId="1">
      <alignment horizontal="center" vertical="center"/>
    </xf>
    <xf numFmtId="164" fontId="18" fillId="19" borderId="1" applyAlignment="1" pivotButton="0" quotePrefix="0" xfId="0">
      <alignment horizontal="right" vertical="center"/>
    </xf>
    <xf numFmtId="166" fontId="11" fillId="19" borderId="7" applyAlignment="1" pivotButton="0" quotePrefix="0" xfId="1">
      <alignment horizontal="center" vertical="center"/>
    </xf>
    <xf numFmtId="166" fontId="11" fillId="19" borderId="1" applyAlignment="1" pivotButton="0" quotePrefix="0" xfId="1">
      <alignment horizontal="center" vertical="center"/>
    </xf>
    <xf numFmtId="172" fontId="12" fillId="0" borderId="0" applyAlignment="1" pivotButton="0" quotePrefix="0" xfId="1">
      <alignment horizontal="center" vertical="center"/>
    </xf>
    <xf numFmtId="166" fontId="9" fillId="10" borderId="3" applyAlignment="1" pivotButton="0" quotePrefix="0" xfId="1">
      <alignment horizontal="center" vertical="center"/>
    </xf>
    <xf numFmtId="10" fontId="2" fillId="0" borderId="4" applyAlignment="1" pivotButton="0" quotePrefix="0" xfId="4">
      <alignment horizontal="center" vertical="center"/>
    </xf>
    <xf numFmtId="166" fontId="9" fillId="23" borderId="0" applyAlignment="1" pivotButton="0" quotePrefix="0" xfId="1">
      <alignment horizontal="right" vertical="center"/>
    </xf>
    <xf numFmtId="166" fontId="9" fillId="23" borderId="4" applyAlignment="1" pivotButton="0" quotePrefix="0" xfId="1">
      <alignment horizontal="center" vertical="center"/>
    </xf>
    <xf numFmtId="166" fontId="11" fillId="2" borderId="3" applyAlignment="1" pivotButton="0" quotePrefix="0" xfId="1">
      <alignment horizontal="center" vertical="center"/>
    </xf>
    <xf numFmtId="9" fontId="12" fillId="0" borderId="4" applyAlignment="1" pivotButton="0" quotePrefix="0" xfId="4">
      <alignment horizontal="center" vertical="center"/>
    </xf>
    <xf numFmtId="164" fontId="6" fillId="0" borderId="0" applyAlignment="1" pivotButton="0" quotePrefix="0" xfId="0">
      <alignment horizontal="right" vertical="center"/>
    </xf>
    <xf numFmtId="164" fontId="5" fillId="0" borderId="0" applyAlignment="1" pivotButton="0" quotePrefix="0" xfId="0">
      <alignment horizontal="right" vertical="center"/>
    </xf>
    <xf numFmtId="164" fontId="8" fillId="5" borderId="10" applyAlignment="1" pivotButton="0" quotePrefix="0" xfId="0">
      <alignment horizontal="center" vertical="center"/>
    </xf>
    <xf numFmtId="164" fontId="8" fillId="0" borderId="10" applyAlignment="1" pivotButton="0" quotePrefix="0" xfId="0">
      <alignment horizontal="center" vertical="center"/>
    </xf>
    <xf numFmtId="164" fontId="5" fillId="0" borderId="10" applyAlignment="1" pivotButton="0" quotePrefix="0" xfId="0">
      <alignment horizontal="center" vertical="center"/>
    </xf>
    <xf numFmtId="167" fontId="8" fillId="0" borderId="10" applyAlignment="1" pivotButton="0" quotePrefix="0" xfId="0">
      <alignment horizontal="center" vertical="center"/>
    </xf>
    <xf numFmtId="164" fontId="6" fillId="2" borderId="1" applyAlignment="1" pivotButton="0" quotePrefix="0" xfId="0">
      <alignment horizontal="right" vertical="center"/>
    </xf>
    <xf numFmtId="164" fontId="6" fillId="2" borderId="7" applyAlignment="1" pivotButton="0" quotePrefix="0" xfId="0">
      <alignment horizontal="center" vertical="center"/>
    </xf>
    <xf numFmtId="164" fontId="6" fillId="13" borderId="1" applyAlignment="1" pivotButton="0" quotePrefix="0" xfId="0">
      <alignment horizontal="right" vertical="center"/>
    </xf>
    <xf numFmtId="9" fontId="6" fillId="13" borderId="7" applyAlignment="1" pivotButton="0" quotePrefix="0" xfId="4">
      <alignment horizontal="center" vertical="center"/>
    </xf>
    <xf numFmtId="169" fontId="12" fillId="0" borderId="0" applyAlignment="1" pivotButton="0" quotePrefix="0" xfId="1">
      <alignment horizontal="center" vertical="center"/>
    </xf>
    <xf numFmtId="172" fontId="13" fillId="0" borderId="0" applyAlignment="1" pivotButton="0" quotePrefix="0" xfId="1">
      <alignment horizontal="center" vertical="center"/>
    </xf>
    <xf numFmtId="166" fontId="12" fillId="24" borderId="0" applyAlignment="1" pivotButton="0" quotePrefix="0" xfId="1">
      <alignment horizontal="center" vertical="center"/>
    </xf>
    <xf numFmtId="0" fontId="23" fillId="26" borderId="11" applyAlignment="1" pivotButton="0" quotePrefix="0" xfId="0">
      <alignment horizontal="right" vertical="center"/>
    </xf>
    <xf numFmtId="0" fontId="23" fillId="26" borderId="11" applyAlignment="1" pivotButton="0" quotePrefix="0" xfId="0">
      <alignment horizontal="center" vertical="center"/>
    </xf>
    <xf numFmtId="0" fontId="24" fillId="0" borderId="11" applyAlignment="1" pivotButton="0" quotePrefix="0" xfId="0">
      <alignment horizontal="right" vertical="center"/>
    </xf>
    <xf numFmtId="1" fontId="25" fillId="0" borderId="11" applyAlignment="1" pivotButton="0" quotePrefix="0" xfId="0">
      <alignment horizontal="center" vertical="center"/>
    </xf>
    <xf numFmtId="0" fontId="24" fillId="0" borderId="11" applyAlignment="1" pivotButton="0" quotePrefix="0" xfId="0">
      <alignment horizontal="center" vertical="center"/>
    </xf>
    <xf numFmtId="166" fontId="25" fillId="0" borderId="11" applyAlignment="1" pivotButton="0" quotePrefix="0" xfId="0">
      <alignment horizontal="center" vertical="center"/>
    </xf>
    <xf numFmtId="0" fontId="26" fillId="0" borderId="11" applyAlignment="1" pivotButton="0" quotePrefix="0" xfId="0">
      <alignment horizontal="center" vertical="center"/>
    </xf>
    <xf numFmtId="169" fontId="25" fillId="0" borderId="11" applyAlignment="1" pivotButton="0" quotePrefix="0" xfId="0">
      <alignment horizontal="center" vertical="center"/>
    </xf>
    <xf numFmtId="169" fontId="26" fillId="0" borderId="11" applyAlignment="1" pivotButton="0" quotePrefix="0" xfId="0">
      <alignment horizontal="center" vertical="center"/>
    </xf>
    <xf numFmtId="166" fontId="26" fillId="0" borderId="11" applyAlignment="1" pivotButton="0" quotePrefix="0" xfId="0">
      <alignment horizontal="center" vertical="center"/>
    </xf>
    <xf numFmtId="165" fontId="26" fillId="0" borderId="11" applyAlignment="1" pivotButton="0" quotePrefix="0" xfId="0">
      <alignment horizontal="center" vertical="center"/>
    </xf>
    <xf numFmtId="0" fontId="23" fillId="26" borderId="11" applyAlignment="1" pivotButton="0" quotePrefix="0" xfId="0">
      <alignment horizontal="center" vertical="center" wrapText="1"/>
    </xf>
    <xf numFmtId="0" fontId="23" fillId="0" borderId="11" applyAlignment="1" pivotButton="0" quotePrefix="0" xfId="0">
      <alignment horizontal="right" vertical="center"/>
    </xf>
    <xf numFmtId="166" fontId="29" fillId="0" borderId="11" applyAlignment="1" pivotButton="0" quotePrefix="0" xfId="0">
      <alignment horizontal="center" vertical="center"/>
    </xf>
    <xf numFmtId="2" fontId="26" fillId="0" borderId="11" applyAlignment="1" pivotButton="0" quotePrefix="0" xfId="0">
      <alignment horizontal="center" vertical="center"/>
    </xf>
    <xf numFmtId="165" fontId="25" fillId="0" borderId="11" applyAlignment="1" pivotButton="0" quotePrefix="0" xfId="0">
      <alignment horizontal="center" vertical="center"/>
    </xf>
    <xf numFmtId="0" fontId="31" fillId="0" borderId="11" applyAlignment="1" pivotButton="0" quotePrefix="0" xfId="0">
      <alignment horizontal="center" vertical="center"/>
    </xf>
    <xf numFmtId="1" fontId="29" fillId="0" borderId="11" applyAlignment="1" pivotButton="0" quotePrefix="0" xfId="0">
      <alignment horizontal="center" vertical="center"/>
    </xf>
    <xf numFmtId="173" fontId="26" fillId="0" borderId="11" applyAlignment="1" pivotButton="0" quotePrefix="0" xfId="0">
      <alignment horizontal="center" vertical="center"/>
    </xf>
    <xf numFmtId="166" fontId="9" fillId="14" borderId="1" applyAlignment="1" pivotButton="0" quotePrefix="0" xfId="1">
      <alignment horizontal="center" vertical="center"/>
    </xf>
    <xf numFmtId="9" fontId="1" fillId="0" borderId="0" pivotButton="0" quotePrefix="0" xfId="4"/>
    <xf numFmtId="165" fontId="9" fillId="14" borderId="3" applyAlignment="1" pivotButton="0" quotePrefix="0" xfId="1">
      <alignment horizontal="center" vertical="center"/>
    </xf>
    <xf numFmtId="166" fontId="0" fillId="0" borderId="0" pivotButton="0" quotePrefix="0" xfId="0"/>
    <xf numFmtId="9" fontId="1" fillId="0" borderId="0" applyAlignment="1" pivotButton="0" quotePrefix="0" xfId="4">
      <alignment horizontal="center"/>
    </xf>
    <xf numFmtId="166" fontId="9" fillId="18" borderId="1" applyAlignment="1" pivotButton="0" quotePrefix="0" xfId="1">
      <alignment horizontal="right" vertical="center"/>
    </xf>
    <xf numFmtId="166" fontId="9" fillId="9" borderId="7" applyAlignment="1" pivotButton="0" quotePrefix="0" xfId="1">
      <alignment horizontal="center" vertical="center"/>
    </xf>
    <xf numFmtId="166" fontId="9" fillId="18" borderId="1" applyAlignment="1" pivotButton="0" quotePrefix="0" xfId="1">
      <alignment horizontal="center" vertical="center"/>
    </xf>
    <xf numFmtId="0" fontId="20" fillId="0" borderId="0" applyAlignment="1" pivotButton="0" quotePrefix="0" xfId="0">
      <alignment horizontal="right" vertical="center"/>
    </xf>
    <xf numFmtId="0" fontId="0" fillId="0" borderId="0" pivotButton="0" quotePrefix="0" xfId="0"/>
    <xf numFmtId="0" fontId="31" fillId="0" borderId="0" applyAlignment="1" pivotButton="0" quotePrefix="0" xfId="0">
      <alignment horizontal="right" vertical="center" wrapText="1"/>
    </xf>
    <xf numFmtId="0" fontId="27" fillId="0" borderId="0" applyAlignment="1" pivotButton="0" quotePrefix="0" xfId="0">
      <alignment horizontal="right" vertical="center" wrapText="1"/>
    </xf>
    <xf numFmtId="0" fontId="30" fillId="29" borderId="0" applyAlignment="1" pivotButton="0" quotePrefix="0" xfId="0">
      <alignment horizontal="right" vertical="center"/>
    </xf>
    <xf numFmtId="0" fontId="22" fillId="25" borderId="0" applyAlignment="1" pivotButton="0" quotePrefix="0" xfId="0">
      <alignment horizontal="right" vertical="center"/>
    </xf>
    <xf numFmtId="0" fontId="21" fillId="0" borderId="0" applyAlignment="1" pivotButton="0" quotePrefix="0" xfId="0">
      <alignment horizontal="right" vertical="center"/>
    </xf>
    <xf numFmtId="0" fontId="28" fillId="27" borderId="11" applyAlignment="1" pivotButton="0" quotePrefix="0" xfId="0">
      <alignment horizontal="center" vertical="center"/>
    </xf>
    <xf numFmtId="0" fontId="0" fillId="0" borderId="12" pivotButton="0" quotePrefix="0" xfId="0"/>
    <xf numFmtId="0" fontId="0" fillId="0" borderId="13" pivotButton="0" quotePrefix="0" xfId="0"/>
    <xf numFmtId="0" fontId="30" fillId="31" borderId="0" applyAlignment="1" pivotButton="0" quotePrefix="0" xfId="0">
      <alignment horizontal="right" vertical="center"/>
    </xf>
    <xf numFmtId="0" fontId="30" fillId="28" borderId="0" applyAlignment="1" pivotButton="0" quotePrefix="0" xfId="0">
      <alignment horizontal="right" vertical="center"/>
    </xf>
    <xf numFmtId="0" fontId="30" fillId="30" borderId="0" applyAlignment="1" pivotButton="0" quotePrefix="0" xfId="0">
      <alignment horizontal="right" vertical="center"/>
    </xf>
    <xf numFmtId="0" fontId="32" fillId="0" borderId="0" applyAlignment="1" pivotButton="0" quotePrefix="0" xfId="0">
      <alignment horizontal="right" vertical="center" wrapText="1"/>
    </xf>
    <xf numFmtId="0" fontId="33" fillId="0" borderId="0" applyAlignment="1" pivotButton="0" quotePrefix="0" xfId="0">
      <alignment horizontal="right"/>
    </xf>
    <xf numFmtId="0" fontId="34" fillId="25" borderId="0" applyAlignment="1" pivotButton="0" quotePrefix="0" xfId="0">
      <alignment horizontal="right" vertical="center" wrapText="1"/>
    </xf>
    <xf numFmtId="0" fontId="0" fillId="25" borderId="0" pivotButton="0" quotePrefix="0" xfId="0"/>
    <xf numFmtId="0" fontId="35" fillId="26" borderId="16" applyAlignment="1" pivotButton="0" quotePrefix="0" xfId="0">
      <alignment horizontal="right" vertical="center" wrapText="1"/>
    </xf>
    <xf numFmtId="0" fontId="35" fillId="26" borderId="16" applyAlignment="1" pivotButton="0" quotePrefix="0" xfId="0">
      <alignment horizontal="center" vertical="center"/>
    </xf>
    <xf numFmtId="0" fontId="36" fillId="0" borderId="16" applyAlignment="1" pivotButton="0" quotePrefix="0" xfId="0">
      <alignment horizontal="right" vertical="center" wrapText="1"/>
    </xf>
    <xf numFmtId="166" fontId="37" fillId="0" borderId="16" applyAlignment="1" pivotButton="0" quotePrefix="0" xfId="0">
      <alignment horizontal="center" vertical="center"/>
    </xf>
    <xf numFmtId="0" fontId="33" fillId="0" borderId="0" applyAlignment="1" pivotButton="0" quotePrefix="0" xfId="0">
      <alignment horizontal="right" vertical="center" wrapText="1"/>
    </xf>
    <xf numFmtId="0" fontId="35" fillId="0" borderId="16" applyAlignment="1" pivotButton="0" quotePrefix="0" xfId="0">
      <alignment horizontal="right" vertical="center" wrapText="1"/>
    </xf>
    <xf numFmtId="166" fontId="38" fillId="0" borderId="16" applyAlignment="1" pivotButton="0" quotePrefix="0" xfId="0">
      <alignment horizontal="center" vertical="center"/>
    </xf>
    <xf numFmtId="165" fontId="39" fillId="32" borderId="16" applyAlignment="1" pivotButton="0" quotePrefix="0" xfId="0">
      <alignment horizontal="center" vertical="center"/>
    </xf>
    <xf numFmtId="166" fontId="39" fillId="32" borderId="16" applyAlignment="1" pivotButton="0" quotePrefix="0" xfId="0">
      <alignment horizontal="center" vertical="center"/>
    </xf>
    <xf numFmtId="0" fontId="0" fillId="33" borderId="16" pivotButton="0" quotePrefix="0" xfId="0"/>
    <xf numFmtId="165" fontId="37" fillId="0" borderId="16" applyAlignment="1" pivotButton="0" quotePrefix="0" xfId="0">
      <alignment horizontal="center" vertical="center"/>
    </xf>
    <xf numFmtId="166" fontId="39" fillId="34" borderId="16" applyAlignment="1" pivotButton="0" quotePrefix="0" xfId="0">
      <alignment horizontal="center" vertical="center"/>
    </xf>
    <xf numFmtId="166" fontId="37" fillId="34" borderId="16" applyAlignment="1" pivotButton="0" quotePrefix="0" xfId="0">
      <alignment horizontal="center" vertical="center"/>
    </xf>
    <xf numFmtId="165" fontId="39" fillId="34" borderId="16" applyAlignment="1" pivotButton="0" quotePrefix="0" xfId="0">
      <alignment horizontal="center" vertical="center"/>
    </xf>
    <xf numFmtId="165" fontId="40" fillId="0" borderId="16" applyAlignment="1" pivotButton="0" quotePrefix="0" xfId="0">
      <alignment horizontal="center" vertical="center"/>
    </xf>
    <xf numFmtId="166" fontId="40" fillId="0" borderId="16" applyAlignment="1" pivotButton="0" quotePrefix="0" xfId="0">
      <alignment horizontal="center" vertical="center"/>
    </xf>
    <xf numFmtId="1" fontId="40" fillId="0" borderId="16" applyAlignment="1" pivotButton="0" quotePrefix="0" xfId="0">
      <alignment horizontal="center" vertical="center"/>
    </xf>
    <xf numFmtId="0" fontId="33" fillId="0" borderId="0" pivotButton="0" quotePrefix="0" xfId="0"/>
    <xf numFmtId="0" fontId="40" fillId="0" borderId="16" applyAlignment="1" pivotButton="0" quotePrefix="0" xfId="0">
      <alignment horizontal="center" vertical="center"/>
    </xf>
    <xf numFmtId="165" fontId="38" fillId="0" borderId="16" applyAlignment="1" pivotButton="0" quotePrefix="0" xfId="0">
      <alignment horizontal="center" vertical="center"/>
    </xf>
    <xf numFmtId="0" fontId="34" fillId="35" borderId="0" applyAlignment="1" pivotButton="0" quotePrefix="0" xfId="0">
      <alignment horizontal="center" vertical="center"/>
    </xf>
    <xf numFmtId="0" fontId="33" fillId="0" borderId="0" applyAlignment="1" pivotButton="0" quotePrefix="0" xfId="0">
      <alignment horizontal="right"/>
    </xf>
    <xf numFmtId="0" fontId="41" fillId="25" borderId="0" applyAlignment="1" pivotButton="0" quotePrefix="0" xfId="0">
      <alignment horizontal="right" vertical="center" wrapText="1"/>
    </xf>
  </cellXfs>
  <cellStyles count="5">
    <cellStyle name="Normal" xfId="0" builtinId="0"/>
    <cellStyle name="Normal 2" xfId="1"/>
    <cellStyle name="Normal 3" xfId="2"/>
    <cellStyle name="Normal 4" xfId="3"/>
    <cellStyle name="Percent" xfId="4" builtinId="5"/>
  </cellStyles>
  <dxfs count="7">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b val="1"/>
        <color theme="0"/>
      </font>
      <fill>
        <patternFill>
          <bgColor rgb="FFC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externalLink" Target="/xl/externalLinks/externalLink1.xml" Id="rId4"/><Relationship Type="http://schemas.openxmlformats.org/officeDocument/2006/relationships/externalLink" Target="/xl/externalLinks/externalLink2.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externalLinks/_rels/externalLink1.xml.rels><Relationships xmlns="http://schemas.openxmlformats.org/package/2006/relationships"><Relationship Type="http://schemas.microsoft.com/office/2006/relationships/xlExternalLinkPath/xlPathMissing" Target="RecoveredExternalLink1" TargetMode="External" Id="rId1"/></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التغيرات"/>
      <sheetName val="تمهيد"/>
      <sheetName val="وصف المشروع"/>
      <sheetName val="تكلفة المشروع"/>
      <sheetName val="الايرادات و المبيعات"/>
      <sheetName val="حركة نقد المشروع"/>
      <sheetName val="حركة نقد الصندوق"/>
      <sheetName val="الملخص"/>
    </sheetNames>
    <sheetDataSet>
      <sheetData sheetId="0"/>
      <sheetData sheetId="1">
        <row r="1">
          <cell r="A1" t="str">
            <v xml:space="preserve">نموذج مالي لـ مشروع سكة 2 </v>
          </cell>
        </row>
      </sheetData>
      <sheetData sheetId="2"/>
      <sheetData sheetId="3"/>
      <sheetData sheetId="4">
        <row r="6">
          <cell r="D6">
            <v>0.5</v>
          </cell>
        </row>
      </sheetData>
      <sheetData sheetId="5"/>
      <sheetData sheetId="6">
        <row r="72">
          <cell r="D72">
            <v>0</v>
          </cell>
        </row>
      </sheetData>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ن"/>
      <sheetName val="الحجم الاقل"/>
      <sheetName val="الحجم الاكبر"/>
      <sheetName val="20240216"/>
      <sheetName val="التقرير"/>
      <sheetName val="20240216 السيناريوهات"/>
    </sheetNames>
    <sheetDataSet>
      <sheetData sheetId="0" refreshError="1"/>
      <sheetData sheetId="1" refreshError="1"/>
      <sheetData sheetId="2" refreshError="1"/>
      <sheetData sheetId="3" refreshError="1"/>
      <sheetData sheetId="4" refreshError="1"/>
      <sheetData sheetId="5">
        <row r="4">
          <cell r="E4">
            <v>1000000</v>
          </cell>
        </row>
      </sheetData>
    </sheetDataSet>
  </externalBook>
</externalLink>
</file>

<file path=xl/theme/theme1.xml><?xml version="1.0" encoding="utf-8"?>
<a:theme xmlns:a="http://schemas.openxmlformats.org/drawingml/2006/main" name="Office Theme">
  <a:themeElements>
    <a:clrScheme name="تسوي 2">
      <a:dk1>
        <a:srgbClr val="171616"/>
      </a:dk1>
      <a:lt1>
        <a:sysClr val="window" lastClr="FFFFFF"/>
      </a:lt1>
      <a:dk2>
        <a:srgbClr val="B7975C"/>
      </a:dk2>
      <a:lt2>
        <a:srgbClr val="E7E6E6"/>
      </a:lt2>
      <a:accent1>
        <a:srgbClr val="1F5430"/>
      </a:accent1>
      <a:accent2>
        <a:srgbClr val="54774E"/>
      </a:accent2>
      <a:accent3>
        <a:srgbClr val="88996B"/>
      </a:accent3>
      <a:accent4>
        <a:srgbClr val="B7975C"/>
      </a:accent4>
      <a:accent5>
        <a:srgbClr val="D4BA81"/>
      </a:accent5>
      <a:accent6>
        <a:srgbClr val="E7DFC6"/>
      </a:accent6>
      <a:hlink>
        <a:srgbClr val="0563C1"/>
      </a:hlink>
      <a:folHlink>
        <a:srgbClr val="954F72"/>
      </a:folHlink>
    </a:clrScheme>
    <a:fontScheme name="الخط الاساسي">
      <a:majorFont>
        <a:latin typeface="Calibri"/>
        <a:ea typeface=""/>
        <a:cs typeface="Calibri"/>
      </a:majorFont>
      <a:minorFont>
        <a:latin typeface="Calibri"/>
        <a:ea typeface=""/>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L122"/>
  <sheetViews>
    <sheetView showGridLines="0" rightToLeft="1" workbookViewId="0">
      <pane xSplit="4" ySplit="3" topLeftCell="E4" activePane="bottomRight" state="frozen"/>
      <selection pane="topRight"/>
      <selection pane="bottomLeft"/>
      <selection pane="bottomRight" activeCell="A1" sqref="A1"/>
    </sheetView>
  </sheetViews>
  <sheetFormatPr baseColWidth="8" defaultRowHeight="15"/>
  <cols>
    <col width="2" customWidth="1" style="240" min="1" max="1"/>
    <col width="2" customWidth="1" style="240" min="2" max="2"/>
    <col width="2" customWidth="1" style="240" min="3" max="3"/>
    <col width="52" customWidth="1" style="240" min="4" max="4"/>
    <col width="17" customWidth="1" style="240" min="5" max="5"/>
    <col width="17" customWidth="1" style="240" min="6" max="6"/>
    <col width="17" customWidth="1" style="240" min="7" max="7"/>
    <col width="17" customWidth="1" style="240" min="8" max="8"/>
    <col width="17" customWidth="1" style="240" min="9" max="9"/>
    <col width="17" customWidth="1" style="240" min="10" max="10"/>
    <col width="18" customWidth="1" style="240" min="11" max="11"/>
    <col width="40" customWidth="1" style="240" min="12" max="12"/>
  </cols>
  <sheetData>
    <row r="1">
      <c r="A1" s="252" t="inlineStr">
        <is>
          <t>دراسة مقارنة - قطعة رقم 34: برج سكني بالكامل مقابل برج مكتبي بالكامل</t>
        </is>
      </c>
    </row>
    <row r="2">
      <c r="A2" s="253" t="inlineStr">
        <is>
          <t>الخلايا الزرقاء على خلفية صفراء = مدخلات قابلة للتعديل · الخضراء = روابط من الأوراق الأخرى · السوداء = معادلات. كل الأرقام بالريال السعودي.</t>
        </is>
      </c>
    </row>
    <row r="4">
      <c r="A4" s="254" t="inlineStr">
        <is>
          <t>أولاً | بيانات الأرض والمسطحات (مربوطة بورقة قطعة 34 وورقة الندي)</t>
        </is>
      </c>
      <c r="B4" s="255" t="n"/>
      <c r="C4" s="255" t="n"/>
      <c r="D4" s="255" t="n"/>
      <c r="E4" s="255" t="n"/>
      <c r="F4" s="255" t="n"/>
      <c r="G4" s="255" t="n"/>
      <c r="H4" s="255" t="n"/>
      <c r="I4" s="255" t="n"/>
      <c r="J4" s="255" t="n"/>
      <c r="K4" s="255" t="n"/>
      <c r="L4" s="255" t="n"/>
    </row>
    <row r="6">
      <c r="D6" s="256" t="inlineStr">
        <is>
          <t>البند</t>
        </is>
      </c>
      <c r="E6" s="257" t="inlineStr">
        <is>
          <t>القيمة</t>
        </is>
      </c>
    </row>
    <row r="7">
      <c r="D7" s="258" t="inlineStr">
        <is>
          <t>مساحة الأرض (م²)</t>
        </is>
      </c>
      <c r="E7" s="259">
        <f>'قطعة 34 - T5.3'!E8</f>
        <v/>
      </c>
      <c r="F7" s="260" t="inlineStr">
        <is>
          <t>م²</t>
        </is>
      </c>
    </row>
    <row r="8">
      <c r="D8" s="258" t="inlineStr">
        <is>
          <t>إجمالي المسطحات البنائية فوق الأرض - 5 أدوار (م²)</t>
        </is>
      </c>
      <c r="E8" s="259">
        <f>'قطعة 34 - T5.3'!E45</f>
        <v/>
      </c>
      <c r="F8" s="260" t="inlineStr">
        <is>
          <t>م² - الخيار (ب) في ورقة قطعة 34</t>
        </is>
      </c>
    </row>
    <row r="9">
      <c r="D9" s="258" t="inlineStr">
        <is>
          <t>مساحة الدور الأرضي (م²)</t>
        </is>
      </c>
      <c r="E9" s="259">
        <f>'قطعة 34 - T5.3'!E33</f>
        <v/>
      </c>
      <c r="F9" s="260" t="inlineStr">
        <is>
          <t>م²</t>
        </is>
      </c>
    </row>
    <row r="10">
      <c r="D10" s="258" t="inlineStr">
        <is>
          <t>عدد المواقف السطحية المتاحة</t>
        </is>
      </c>
      <c r="E10" s="259">
        <f>'قطعة 34 - T5.3'!E57</f>
        <v/>
      </c>
      <c r="F10" s="260" t="inlineStr">
        <is>
          <t>موقف</t>
        </is>
      </c>
    </row>
    <row r="11">
      <c r="D11" s="258" t="inlineStr">
        <is>
          <t>مساحة الموقف بالقبو شامل الممرات (م²)</t>
        </is>
      </c>
      <c r="E11" s="259">
        <f>'قطعة 34 - T5.3'!E58</f>
        <v/>
      </c>
      <c r="F11" s="260" t="inlineStr">
        <is>
          <t>م²/موقف</t>
        </is>
      </c>
    </row>
    <row r="12">
      <c r="D12" s="258" t="inlineStr">
        <is>
          <t>سعر شراء متر الأرض</t>
        </is>
      </c>
      <c r="E12" s="259">
        <f>'الندي'!F42</f>
        <v/>
      </c>
      <c r="F12" s="260" t="inlineStr">
        <is>
          <t>ريال/م² أرض</t>
        </is>
      </c>
    </row>
    <row r="13">
      <c r="D13" s="261" t="inlineStr">
        <is>
          <t>تكلفة الأرض</t>
        </is>
      </c>
      <c r="E13" s="262">
        <f>$E$7*$E$12</f>
        <v/>
      </c>
    </row>
    <row r="15">
      <c r="A15" s="254" t="inlineStr">
        <is>
          <t>ثانياً | الافتراضات لكل سيناريو (قابلة للتعديل)</t>
        </is>
      </c>
      <c r="B15" s="255" t="n"/>
      <c r="C15" s="255" t="n"/>
      <c r="D15" s="255" t="n"/>
      <c r="E15" s="255" t="n"/>
      <c r="F15" s="255" t="n"/>
      <c r="G15" s="255" t="n"/>
      <c r="H15" s="255" t="n"/>
      <c r="I15" s="255" t="n"/>
      <c r="J15" s="255" t="n"/>
      <c r="K15" s="255" t="n"/>
      <c r="L15" s="255" t="n"/>
    </row>
    <row r="17">
      <c r="D17" s="256" t="inlineStr">
        <is>
          <t>البند</t>
        </is>
      </c>
      <c r="E17" s="257" t="inlineStr">
        <is>
          <t>سكني (شقق للبيع)</t>
        </is>
      </c>
      <c r="F17" s="257" t="inlineStr">
        <is>
          <t>مكتبي (تأجير ثم بيع)</t>
        </is>
      </c>
      <c r="L17" s="260" t="inlineStr">
        <is>
          <t>المصدر / ملاحظة</t>
        </is>
      </c>
    </row>
    <row r="18">
      <c r="D18" s="258" t="inlineStr">
        <is>
          <t>نسبة المساحة الصافية (البيعية/التأجيرية)</t>
        </is>
      </c>
      <c r="E18" s="263" t="n">
        <v>0.85</v>
      </c>
      <c r="F18" s="263" t="n">
        <v>0.85</v>
      </c>
      <c r="L18" s="260" t="inlineStr">
        <is>
          <t>من ورقة الندي (E20/F20)</t>
        </is>
      </c>
    </row>
    <row r="19">
      <c r="D19" s="258" t="inlineStr">
        <is>
          <t>متوسط مساحة الوحدة السكنية (م²)</t>
        </is>
      </c>
      <c r="E19" s="264" t="n">
        <v>130</v>
      </c>
      <c r="F19" s="265" t="n"/>
      <c r="L19" s="260" t="inlineStr">
        <is>
          <t>من ورقة قطعة 34 (E70)</t>
        </is>
      </c>
    </row>
    <row r="20">
      <c r="D20" s="258" t="inlineStr">
        <is>
          <t>متطلبات المواقف: سكني = موقف/وحدة · مكتبي = م² صافي لكل موقف</t>
        </is>
      </c>
      <c r="E20" s="264" t="n">
        <v>1</v>
      </c>
      <c r="F20" s="264" t="n">
        <v>43</v>
      </c>
      <c r="L20" s="260" t="inlineStr">
        <is>
          <t>كود T5.3 - من ورقة قطعة 34 (E72 / F88)</t>
        </is>
      </c>
    </row>
    <row r="21">
      <c r="D21" s="258" t="inlineStr">
        <is>
          <t>تكلفة البناء فوق الأرض (ريال/م²)</t>
        </is>
      </c>
      <c r="E21" s="259">
        <f>'الندي'!J46</f>
        <v/>
      </c>
      <c r="F21" s="259">
        <f>'الندي'!F47</f>
        <v/>
      </c>
      <c r="L21" s="260" t="inlineStr">
        <is>
          <t>سكني: متوسط سعر التنفيذ J46 · مكتبي: F47 - ورقة الندي</t>
        </is>
      </c>
    </row>
    <row r="22">
      <c r="D22" s="258" t="inlineStr">
        <is>
          <t>تكلفة القبو/المواقف (ريال/م²)</t>
        </is>
      </c>
      <c r="E22" s="259">
        <f>'الندي'!F51</f>
        <v/>
      </c>
      <c r="F22" s="259">
        <f>'الندي'!F51</f>
        <v/>
      </c>
      <c r="L22" s="260" t="inlineStr">
        <is>
          <t>ورقة الندي F51</t>
        </is>
      </c>
    </row>
    <row r="23">
      <c r="D23" s="258" t="inlineStr">
        <is>
          <t>تكلفة الموقع العام (ريال/م²)</t>
        </is>
      </c>
      <c r="E23" s="259">
        <f>'الندي'!F52</f>
        <v/>
      </c>
      <c r="F23" s="259">
        <f>'الندي'!F52</f>
        <v/>
      </c>
      <c r="L23" s="260" t="inlineStr">
        <is>
          <t>ورقة الندي F52</t>
        </is>
      </c>
    </row>
    <row r="24">
      <c r="D24" s="258" t="inlineStr">
        <is>
          <t>تصاميم وإشراف ورسوم حكومية (% من التكاليف المباشرة)</t>
        </is>
      </c>
      <c r="E24" s="266">
        <f>'الندي'!F55</f>
        <v/>
      </c>
      <c r="F24" s="266">
        <f>'الندي'!F55</f>
        <v/>
      </c>
      <c r="L24" s="260" t="inlineStr">
        <is>
          <t>ورقة الندي F55</t>
        </is>
      </c>
    </row>
    <row r="25">
      <c r="D25" s="258" t="inlineStr">
        <is>
          <t>أتعاب المطور (% من التكاليف المباشرة)</t>
        </is>
      </c>
      <c r="E25" s="266">
        <f>'الندي'!F58</f>
        <v/>
      </c>
      <c r="F25" s="266">
        <f>'الندي'!F58</f>
        <v/>
      </c>
      <c r="L25" s="260" t="inlineStr">
        <is>
          <t>ورقة الندي F58</t>
        </is>
      </c>
    </row>
    <row r="26">
      <c r="D26" s="258" t="inlineStr">
        <is>
          <t>تسويق (% من قيمة البيع)</t>
        </is>
      </c>
      <c r="E26" s="266">
        <f>'الندي'!F56</f>
        <v/>
      </c>
      <c r="F26" s="266">
        <f>'الندي'!F56</f>
        <v/>
      </c>
      <c r="L26" s="260" t="inlineStr">
        <is>
          <t>ورقة الندي F56 - مطبقة هنا على قيمة البيع</t>
        </is>
      </c>
    </row>
    <row r="27">
      <c r="D27" s="258" t="inlineStr">
        <is>
          <t>السعي (% من قيمة البيع)</t>
        </is>
      </c>
      <c r="E27" s="263" t="n">
        <v>0.025</v>
      </c>
      <c r="F27" s="263" t="n">
        <v>0.025</v>
      </c>
      <c r="L27" s="260" t="inlineStr">
        <is>
          <t>افتراض: 2.5% سعي بيع متعارف عليه</t>
        </is>
      </c>
    </row>
    <row r="28">
      <c r="D28" s="258" t="inlineStr">
        <is>
          <t>سعر بيع المتر الصافي - سكني (ريال/م²)</t>
        </is>
      </c>
      <c r="E28" s="267" t="n">
        <v>9000</v>
      </c>
      <c r="F28" s="265" t="n"/>
      <c r="L28" s="260" t="inlineStr">
        <is>
          <t>افتراض للتحقق: لا يوجد سعر سكني بالملف (الـ15,000 في G87 مربوط بعمود المكتبي)</t>
        </is>
      </c>
    </row>
    <row r="29">
      <c r="D29" s="258" t="inlineStr">
        <is>
          <t>إيجار المتر الصافي سنوياً - مكتبي (ريال/م²)</t>
        </is>
      </c>
      <c r="E29" s="265" t="n"/>
      <c r="F29" s="268">
        <f>'الندي'!E120</f>
        <v/>
      </c>
      <c r="L29" s="260" t="inlineStr">
        <is>
          <t>ورقة الندي E120</t>
        </is>
      </c>
    </row>
    <row r="30">
      <c r="D30" s="258" t="inlineStr">
        <is>
          <t>مصروفات تشغيل وصيانة (% من الدخل)</t>
        </is>
      </c>
      <c r="E30" s="265" t="n"/>
      <c r="F30" s="266">
        <f>'الندي'!E125</f>
        <v/>
      </c>
      <c r="L30" s="260" t="inlineStr">
        <is>
          <t>ورقة الندي E125</t>
        </is>
      </c>
    </row>
    <row r="31">
      <c r="D31" s="258" t="inlineStr">
        <is>
          <t>نمو الإيجار السنوي</t>
        </is>
      </c>
      <c r="E31" s="265" t="n"/>
      <c r="F31" s="266">
        <f>'الندي'!E109</f>
        <v/>
      </c>
      <c r="L31" s="260" t="inlineStr">
        <is>
          <t>ورقة الندي E109</t>
        </is>
      </c>
    </row>
    <row r="32">
      <c r="D32" s="258" t="inlineStr">
        <is>
          <t>معامل الرسملة عند البيع (Cap Rate)</t>
        </is>
      </c>
      <c r="E32" s="265" t="n"/>
      <c r="F32" s="269" t="n">
        <v>0.08</v>
      </c>
      <c r="L32" s="260" t="inlineStr">
        <is>
          <t>افتراض: E142 فارغ بورقة الندي - 8% لمكاتب درجة أولى بالرياض</t>
        </is>
      </c>
    </row>
    <row r="34">
      <c r="D34" s="256" t="inlineStr">
        <is>
          <t>التوزيع الزمني (السنة)</t>
        </is>
      </c>
      <c r="E34" s="257" t="inlineStr">
        <is>
          <t>سنة 0</t>
        </is>
      </c>
      <c r="F34" s="257" t="inlineStr">
        <is>
          <t>سنة 1</t>
        </is>
      </c>
      <c r="G34" s="257" t="inlineStr">
        <is>
          <t>سنة 2</t>
        </is>
      </c>
      <c r="H34" s="257" t="inlineStr">
        <is>
          <t>سنة 3</t>
        </is>
      </c>
      <c r="I34" s="257" t="inlineStr">
        <is>
          <t>سنة 4</t>
        </is>
      </c>
      <c r="J34" s="257" t="inlineStr">
        <is>
          <t>سنة 5</t>
        </is>
      </c>
      <c r="K34" s="257" t="inlineStr">
        <is>
          <t>المجموع</t>
        </is>
      </c>
      <c r="L34" s="260" t="inlineStr">
        <is>
          <t>ملاحظة</t>
        </is>
      </c>
    </row>
    <row r="35">
      <c r="D35" s="258" t="inlineStr">
        <is>
          <t>توزيع تكاليف البناء</t>
        </is>
      </c>
      <c r="E35" s="263" t="n">
        <v>0</v>
      </c>
      <c r="F35" s="263" t="n">
        <v>0.5</v>
      </c>
      <c r="G35" s="263" t="n">
        <v>0.5</v>
      </c>
      <c r="H35" s="263" t="n">
        <v>0</v>
      </c>
      <c r="I35" s="263" t="n">
        <v>0</v>
      </c>
      <c r="J35" s="263" t="n">
        <v>0</v>
      </c>
      <c r="K35" s="270">
        <f>SUM(E35:J35)</f>
        <v/>
      </c>
      <c r="L35" s="260" t="inlineStr">
        <is>
          <t>ورقة الندي G150:H150</t>
        </is>
      </c>
    </row>
    <row r="36">
      <c r="D36" s="258" t="inlineStr">
        <is>
          <t>سكني: تحصيل البيع على الخارطة</t>
        </is>
      </c>
      <c r="E36" s="263" t="n">
        <v>0</v>
      </c>
      <c r="F36" s="263" t="n">
        <v>0.5</v>
      </c>
      <c r="G36" s="263" t="n">
        <v>0.5</v>
      </c>
      <c r="H36" s="263" t="n">
        <v>0</v>
      </c>
      <c r="I36" s="263" t="n">
        <v>0</v>
      </c>
      <c r="J36" s="263" t="n">
        <v>0</v>
      </c>
      <c r="K36" s="270">
        <f>SUM(E36:J36)</f>
        <v/>
      </c>
      <c r="L36" s="260" t="inlineStr">
        <is>
          <t>ورقة الندي G92:H92</t>
        </is>
      </c>
    </row>
    <row r="37">
      <c r="D37" s="258" t="inlineStr">
        <is>
          <t>مكتبي: نسبة الإشغال</t>
        </is>
      </c>
      <c r="E37" s="263" t="n">
        <v>0</v>
      </c>
      <c r="F37" s="263" t="n">
        <v>0</v>
      </c>
      <c r="G37" s="263" t="n">
        <v>0</v>
      </c>
      <c r="H37" s="263" t="n">
        <v>0.7</v>
      </c>
      <c r="I37" s="263" t="n">
        <v>0.9</v>
      </c>
      <c r="J37" s="263" t="n">
        <v>0.95</v>
      </c>
      <c r="L37" s="260" t="inlineStr">
        <is>
          <t>افتراض: تأجير تدريجي بعد التسليم</t>
        </is>
      </c>
    </row>
    <row r="38">
      <c r="D38" s="258" t="inlineStr">
        <is>
          <t>مكتبي: سنة بيع المبنى (1 = سنة البيع)</t>
        </is>
      </c>
      <c r="E38" s="264" t="n">
        <v>0</v>
      </c>
      <c r="F38" s="264" t="n">
        <v>0</v>
      </c>
      <c r="G38" s="264" t="n">
        <v>0</v>
      </c>
      <c r="H38" s="264" t="n">
        <v>0</v>
      </c>
      <c r="I38" s="264" t="n">
        <v>0</v>
      </c>
      <c r="J38" s="264" t="n">
        <v>1</v>
      </c>
      <c r="K38" s="271">
        <f>SUM(E38:J38)</f>
        <v/>
      </c>
      <c r="L38" s="260" t="inlineStr">
        <is>
          <t>افتراض: البيع نهاية السنة 5</t>
        </is>
      </c>
    </row>
    <row r="39">
      <c r="D39" s="258" t="inlineStr">
        <is>
          <t>رقم السنة (مساعد)</t>
        </is>
      </c>
      <c r="E39" s="272" t="n">
        <v>0</v>
      </c>
      <c r="F39" s="272" t="n">
        <v>1</v>
      </c>
      <c r="G39" s="272" t="n">
        <v>2</v>
      </c>
      <c r="H39" s="272" t="n">
        <v>3</v>
      </c>
      <c r="I39" s="272" t="n">
        <v>4</v>
      </c>
      <c r="J39" s="272" t="n">
        <v>5</v>
      </c>
    </row>
    <row r="41">
      <c r="A41" s="254" t="inlineStr">
        <is>
          <t>ثالثاً | المساحات والمواقف وأدوار القبو</t>
        </is>
      </c>
      <c r="B41" s="255" t="n"/>
      <c r="C41" s="255" t="n"/>
      <c r="D41" s="255" t="n"/>
      <c r="E41" s="255" t="n"/>
      <c r="F41" s="255" t="n"/>
      <c r="G41" s="255" t="n"/>
      <c r="H41" s="255" t="n"/>
      <c r="I41" s="255" t="n"/>
      <c r="J41" s="255" t="n"/>
      <c r="K41" s="255" t="n"/>
      <c r="L41" s="255" t="n"/>
    </row>
    <row r="43">
      <c r="D43" s="256" t="inlineStr">
        <is>
          <t>البند</t>
        </is>
      </c>
      <c r="E43" s="257" t="inlineStr">
        <is>
          <t>سكني</t>
        </is>
      </c>
      <c r="F43" s="257" t="inlineStr">
        <is>
          <t>مكتبي</t>
        </is>
      </c>
    </row>
    <row r="44">
      <c r="D44" s="258" t="inlineStr">
        <is>
          <t>المسطحات البنائية فوق الأرض (م²)</t>
        </is>
      </c>
      <c r="E44" s="271">
        <f>$E$8</f>
        <v/>
      </c>
      <c r="F44" s="271">
        <f>$E$8</f>
        <v/>
      </c>
    </row>
    <row r="45">
      <c r="D45" s="258" t="inlineStr">
        <is>
          <t>المساحة الصافية (م²)</t>
        </is>
      </c>
      <c r="E45" s="271">
        <f>$E$44*$E$18</f>
        <v/>
      </c>
      <c r="F45" s="271">
        <f>$F$44*$F$18</f>
        <v/>
      </c>
    </row>
    <row r="46">
      <c r="D46" s="258" t="inlineStr">
        <is>
          <t>عدد الوحدات السكنية</t>
        </is>
      </c>
      <c r="E46" s="271">
        <f>ROUNDDOWN($E$45/$E$19,0)</f>
        <v/>
      </c>
      <c r="F46" s="271" t="n">
        <v>0</v>
      </c>
    </row>
    <row r="47">
      <c r="D47" s="258" t="inlineStr">
        <is>
          <t>عدد المواقف المطلوبة</t>
        </is>
      </c>
      <c r="E47" s="271">
        <f>$E$46*$E$20</f>
        <v/>
      </c>
      <c r="F47" s="271">
        <f>ROUNDUP($F$45/$F$20,0)</f>
        <v/>
      </c>
    </row>
    <row r="48">
      <c r="D48" s="258" t="inlineStr">
        <is>
          <t>المواقف المطلوبة بالقبو (بعد خصم السطحية)</t>
        </is>
      </c>
      <c r="E48" s="271">
        <f>MAX(0,$E$47-$E$10)</f>
        <v/>
      </c>
      <c r="F48" s="271">
        <f>MAX(0,$F$47-$E$10)</f>
        <v/>
      </c>
    </row>
    <row r="49">
      <c r="D49" s="258" t="inlineStr">
        <is>
          <t>مسطحات القبو (م²)</t>
        </is>
      </c>
      <c r="E49" s="271">
        <f>$E$48*$E$11</f>
        <v/>
      </c>
      <c r="F49" s="271">
        <f>$F$48*$E$11</f>
        <v/>
      </c>
    </row>
    <row r="50">
      <c r="D50" s="258" t="inlineStr">
        <is>
          <t>عدد أدوار القبو (مقرب لأعلى)</t>
        </is>
      </c>
      <c r="E50" s="271">
        <f>ROUNDUP($E$49/$E$7,0)</f>
        <v/>
      </c>
      <c r="F50" s="271">
        <f>ROUNDUP($F$49/$E$7,0)</f>
        <v/>
      </c>
    </row>
    <row r="51">
      <c r="D51" s="258" t="inlineStr">
        <is>
          <t>مساحة الموقع العام (م²)</t>
        </is>
      </c>
      <c r="E51" s="271">
        <f>$E$7-$E$9</f>
        <v/>
      </c>
      <c r="F51" s="271">
        <f>$E$7-$E$9</f>
        <v/>
      </c>
    </row>
    <row r="53">
      <c r="A53" s="254" t="inlineStr">
        <is>
          <t>رابعاً | تكاليف التطوير</t>
        </is>
      </c>
      <c r="B53" s="255" t="n"/>
      <c r="C53" s="255" t="n"/>
      <c r="D53" s="255" t="n"/>
      <c r="E53" s="255" t="n"/>
      <c r="F53" s="255" t="n"/>
      <c r="G53" s="255" t="n"/>
      <c r="H53" s="255" t="n"/>
      <c r="I53" s="255" t="n"/>
      <c r="J53" s="255" t="n"/>
      <c r="K53" s="255" t="n"/>
      <c r="L53" s="255" t="n"/>
    </row>
    <row r="55">
      <c r="D55" s="256" t="inlineStr">
        <is>
          <t>البند</t>
        </is>
      </c>
      <c r="E55" s="257" t="inlineStr">
        <is>
          <t>سكني</t>
        </is>
      </c>
      <c r="F55" s="257" t="inlineStr">
        <is>
          <t>مكتبي</t>
        </is>
      </c>
    </row>
    <row r="56">
      <c r="D56" s="258" t="inlineStr">
        <is>
          <t>البناء فوق الأرض</t>
        </is>
      </c>
      <c r="E56" s="271">
        <f>$E$44*$E$21</f>
        <v/>
      </c>
      <c r="F56" s="271">
        <f>$F$44*$F$21</f>
        <v/>
      </c>
    </row>
    <row r="57">
      <c r="D57" s="258" t="inlineStr">
        <is>
          <t>القبو والمواقف</t>
        </is>
      </c>
      <c r="E57" s="271">
        <f>$E$49*$E$22</f>
        <v/>
      </c>
      <c r="F57" s="271">
        <f>$F$49*$F$22</f>
        <v/>
      </c>
    </row>
    <row r="58">
      <c r="D58" s="258" t="inlineStr">
        <is>
          <t>الموقع العام</t>
        </is>
      </c>
      <c r="E58" s="271">
        <f>$E$51*$E$23</f>
        <v/>
      </c>
      <c r="F58" s="271">
        <f>$F$51*$F$23</f>
        <v/>
      </c>
    </row>
    <row r="59">
      <c r="D59" s="261" t="inlineStr">
        <is>
          <t>التكاليف المباشرة</t>
        </is>
      </c>
      <c r="E59" s="262">
        <f>SUM($E$56:$E$58)</f>
        <v/>
      </c>
      <c r="F59" s="262">
        <f>SUM($F$56:$F$58)</f>
        <v/>
      </c>
    </row>
    <row r="60">
      <c r="D60" s="258" t="inlineStr">
        <is>
          <t>تصاميم وإشراف ورسوم</t>
        </is>
      </c>
      <c r="E60" s="271">
        <f>$E$59*$E$24</f>
        <v/>
      </c>
      <c r="F60" s="271">
        <f>$F$59*$F$24</f>
        <v/>
      </c>
    </row>
    <row r="61">
      <c r="D61" s="258" t="inlineStr">
        <is>
          <t>أتعاب المطور</t>
        </is>
      </c>
      <c r="E61" s="271">
        <f>$E$59*$E$25</f>
        <v/>
      </c>
      <c r="F61" s="271">
        <f>$F$59*$F$25</f>
        <v/>
      </c>
    </row>
    <row r="62">
      <c r="D62" s="261" t="inlineStr">
        <is>
          <t>إجمالي تكاليف التطوير (بدون الأرض)</t>
        </is>
      </c>
      <c r="E62" s="262">
        <f>SUM($E$59:$E$61)</f>
        <v/>
      </c>
      <c r="F62" s="262">
        <f>SUM($F$59:$F$61)</f>
        <v/>
      </c>
    </row>
    <row r="63">
      <c r="D63" s="258" t="inlineStr">
        <is>
          <t>تكلفة الأرض</t>
        </is>
      </c>
      <c r="E63" s="271">
        <f>$E$13</f>
        <v/>
      </c>
      <c r="F63" s="271">
        <f>$E$13</f>
        <v/>
      </c>
    </row>
    <row r="64">
      <c r="D64" s="261" t="inlineStr">
        <is>
          <t>إجمالي تكلفة المشروع</t>
        </is>
      </c>
      <c r="E64" s="262">
        <f>$E$62+$E$63</f>
        <v/>
      </c>
      <c r="F64" s="262">
        <f>$F$62+$F$63</f>
        <v/>
      </c>
    </row>
    <row r="65">
      <c r="D65" s="258" t="inlineStr">
        <is>
          <t>التكلفة لكل م² صافي</t>
        </is>
      </c>
      <c r="E65" s="271">
        <f>$E$64/$E$45</f>
        <v/>
      </c>
      <c r="F65" s="271">
        <f>$F$64/$F$45</f>
        <v/>
      </c>
    </row>
    <row r="67">
      <c r="A67" s="254" t="inlineStr">
        <is>
          <t>خامساً (أ) | التدفقات النقدية - السيناريو السكني (بيع على الخارطة)</t>
        </is>
      </c>
      <c r="B67" s="255" t="n"/>
      <c r="C67" s="255" t="n"/>
      <c r="D67" s="255" t="n"/>
      <c r="E67" s="255" t="n"/>
      <c r="F67" s="255" t="n"/>
      <c r="G67" s="255" t="n"/>
      <c r="H67" s="255" t="n"/>
      <c r="I67" s="255" t="n"/>
      <c r="J67" s="255" t="n"/>
      <c r="K67" s="255" t="n"/>
      <c r="L67" s="255" t="n"/>
    </row>
    <row r="69">
      <c r="D69" s="256" t="inlineStr">
        <is>
          <t>البند</t>
        </is>
      </c>
      <c r="E69" s="257" t="inlineStr">
        <is>
          <t>سنة 0</t>
        </is>
      </c>
      <c r="F69" s="257" t="inlineStr">
        <is>
          <t>سنة 1</t>
        </is>
      </c>
      <c r="G69" s="257" t="inlineStr">
        <is>
          <t>سنة 2</t>
        </is>
      </c>
      <c r="H69" s="257" t="inlineStr">
        <is>
          <t>سنة 3</t>
        </is>
      </c>
      <c r="I69" s="257" t="inlineStr">
        <is>
          <t>سنة 4</t>
        </is>
      </c>
      <c r="J69" s="257" t="inlineStr">
        <is>
          <t>سنة 5</t>
        </is>
      </c>
      <c r="K69" s="257" t="inlineStr">
        <is>
          <t>المجموع</t>
        </is>
      </c>
    </row>
    <row r="70">
      <c r="D70" s="258" t="inlineStr">
        <is>
          <t>شراء الأرض</t>
        </is>
      </c>
      <c r="E70" s="271">
        <f>-$E$13</f>
        <v/>
      </c>
      <c r="F70" s="271" t="n">
        <v>0</v>
      </c>
      <c r="G70" s="271" t="n">
        <v>0</v>
      </c>
      <c r="H70" s="271" t="n">
        <v>0</v>
      </c>
      <c r="I70" s="271" t="n">
        <v>0</v>
      </c>
      <c r="J70" s="271" t="n">
        <v>0</v>
      </c>
      <c r="K70" s="271">
        <f>SUM(E70:J70)</f>
        <v/>
      </c>
    </row>
    <row r="71">
      <c r="D71" s="258" t="inlineStr">
        <is>
          <t>تكاليف التطوير</t>
        </is>
      </c>
      <c r="E71" s="271">
        <f>-$E$62*E35</f>
        <v/>
      </c>
      <c r="F71" s="271">
        <f>-$E$62*F35</f>
        <v/>
      </c>
      <c r="G71" s="271">
        <f>-$E$62*G35</f>
        <v/>
      </c>
      <c r="H71" s="271">
        <f>-$E$62*H35</f>
        <v/>
      </c>
      <c r="I71" s="271">
        <f>-$E$62*I35</f>
        <v/>
      </c>
      <c r="J71" s="271">
        <f>-$E$62*J35</f>
        <v/>
      </c>
      <c r="K71" s="271">
        <f>SUM(E71:J71)</f>
        <v/>
      </c>
    </row>
    <row r="72">
      <c r="D72" s="258" t="inlineStr">
        <is>
          <t>تحصيل المبيعات</t>
        </is>
      </c>
      <c r="E72" s="271">
        <f>$E$45*$E$28*E36</f>
        <v/>
      </c>
      <c r="F72" s="271">
        <f>$E$45*$E$28*F36</f>
        <v/>
      </c>
      <c r="G72" s="271">
        <f>$E$45*$E$28*G36</f>
        <v/>
      </c>
      <c r="H72" s="271">
        <f>$E$45*$E$28*H36</f>
        <v/>
      </c>
      <c r="I72" s="271">
        <f>$E$45*$E$28*I36</f>
        <v/>
      </c>
      <c r="J72" s="271">
        <f>$E$45*$E$28*J36</f>
        <v/>
      </c>
      <c r="K72" s="271">
        <f>SUM(E72:J72)</f>
        <v/>
      </c>
    </row>
    <row r="73">
      <c r="D73" s="258" t="inlineStr">
        <is>
          <t>تسويق وسعي</t>
        </is>
      </c>
      <c r="E73" s="271">
        <f>-E72*($E$26+$E$27)</f>
        <v/>
      </c>
      <c r="F73" s="271">
        <f>-F72*($E$26+$E$27)</f>
        <v/>
      </c>
      <c r="G73" s="271">
        <f>-G72*($E$26+$E$27)</f>
        <v/>
      </c>
      <c r="H73" s="271">
        <f>-H72*($E$26+$E$27)</f>
        <v/>
      </c>
      <c r="I73" s="271">
        <f>-I72*($E$26+$E$27)</f>
        <v/>
      </c>
      <c r="J73" s="271">
        <f>-J72*($E$26+$E$27)</f>
        <v/>
      </c>
      <c r="K73" s="271">
        <f>SUM(E73:J73)</f>
        <v/>
      </c>
    </row>
    <row r="74">
      <c r="D74" s="261" t="inlineStr">
        <is>
          <t>صافي التدفق النقدي</t>
        </is>
      </c>
      <c r="E74" s="262">
        <f>SUM(E70:E73)</f>
        <v/>
      </c>
      <c r="F74" s="262">
        <f>SUM(F70:F73)</f>
        <v/>
      </c>
      <c r="G74" s="262">
        <f>SUM(G70:G73)</f>
        <v/>
      </c>
      <c r="H74" s="262">
        <f>SUM(H70:H73)</f>
        <v/>
      </c>
      <c r="I74" s="262">
        <f>SUM(I70:I73)</f>
        <v/>
      </c>
      <c r="J74" s="262">
        <f>SUM(J70:J73)</f>
        <v/>
      </c>
      <c r="K74" s="262">
        <f>SUM(E74:J74)</f>
        <v/>
      </c>
    </row>
    <row r="75">
      <c r="D75" s="258" t="inlineStr">
        <is>
          <t>التدفق التراكمي</t>
        </is>
      </c>
      <c r="E75" s="271">
        <f>E74</f>
        <v/>
      </c>
      <c r="F75" s="271">
        <f>E75+F74</f>
        <v/>
      </c>
      <c r="G75" s="271">
        <f>F75+G74</f>
        <v/>
      </c>
      <c r="H75" s="271">
        <f>G75+H74</f>
        <v/>
      </c>
      <c r="I75" s="271">
        <f>H75+I74</f>
        <v/>
      </c>
      <c r="J75" s="271">
        <f>I75+J74</f>
        <v/>
      </c>
      <c r="K75" s="271" t="n"/>
    </row>
    <row r="77">
      <c r="A77" s="254" t="inlineStr">
        <is>
          <t>خامساً (ب) | التدفقات النقدية - السيناريو المكتبي (تأجير ثم بيع المبنى)</t>
        </is>
      </c>
      <c r="B77" s="255" t="n"/>
      <c r="C77" s="255" t="n"/>
      <c r="D77" s="255" t="n"/>
      <c r="E77" s="255" t="n"/>
      <c r="F77" s="255" t="n"/>
      <c r="G77" s="255" t="n"/>
      <c r="H77" s="255" t="n"/>
      <c r="I77" s="255" t="n"/>
      <c r="J77" s="255" t="n"/>
      <c r="K77" s="255" t="n"/>
      <c r="L77" s="255" t="n"/>
    </row>
    <row r="79">
      <c r="D79" s="256" t="inlineStr">
        <is>
          <t>البند</t>
        </is>
      </c>
      <c r="E79" s="257" t="inlineStr">
        <is>
          <t>سنة 0</t>
        </is>
      </c>
      <c r="F79" s="257" t="inlineStr">
        <is>
          <t>سنة 1</t>
        </is>
      </c>
      <c r="G79" s="257" t="inlineStr">
        <is>
          <t>سنة 2</t>
        </is>
      </c>
      <c r="H79" s="257" t="inlineStr">
        <is>
          <t>سنة 3</t>
        </is>
      </c>
      <c r="I79" s="257" t="inlineStr">
        <is>
          <t>سنة 4</t>
        </is>
      </c>
      <c r="J79" s="257" t="inlineStr">
        <is>
          <t>سنة 5</t>
        </is>
      </c>
      <c r="K79" s="257" t="inlineStr">
        <is>
          <t>المجموع</t>
        </is>
      </c>
    </row>
    <row r="80">
      <c r="D80" s="258" t="inlineStr">
        <is>
          <t>إيجار المتر بعد النمو</t>
        </is>
      </c>
      <c r="E80" s="271">
        <f>$F$29*(1+$F$31)^MAX(0,E39-3)</f>
        <v/>
      </c>
      <c r="F80" s="271">
        <f>$F$29*(1+$F$31)^MAX(0,F39-3)</f>
        <v/>
      </c>
      <c r="G80" s="271">
        <f>$F$29*(1+$F$31)^MAX(0,G39-3)</f>
        <v/>
      </c>
      <c r="H80" s="271">
        <f>$F$29*(1+$F$31)^MAX(0,H39-3)</f>
        <v/>
      </c>
      <c r="I80" s="271">
        <f>$F$29*(1+$F$31)^MAX(0,I39-3)</f>
        <v/>
      </c>
      <c r="J80" s="271">
        <f>$F$29*(1+$F$31)^MAX(0,J39-3)</f>
        <v/>
      </c>
      <c r="L80" s="260" t="inlineStr">
        <is>
          <t>النمو يبدأ بعد أول سنة تشغيل (سنة 3)</t>
        </is>
      </c>
    </row>
    <row r="81">
      <c r="D81" s="258" t="inlineStr">
        <is>
          <t>شراء الأرض</t>
        </is>
      </c>
      <c r="E81" s="271">
        <f>-$E$13</f>
        <v/>
      </c>
      <c r="F81" s="271" t="n">
        <v>0</v>
      </c>
      <c r="G81" s="271" t="n">
        <v>0</v>
      </c>
      <c r="H81" s="271" t="n">
        <v>0</v>
      </c>
      <c r="I81" s="271" t="n">
        <v>0</v>
      </c>
      <c r="J81" s="271" t="n">
        <v>0</v>
      </c>
      <c r="K81" s="271">
        <f>SUM(E81:J81)</f>
        <v/>
      </c>
    </row>
    <row r="82">
      <c r="D82" s="258" t="inlineStr">
        <is>
          <t>تكاليف التطوير</t>
        </is>
      </c>
      <c r="E82" s="271">
        <f>-$F$62*E35</f>
        <v/>
      </c>
      <c r="F82" s="271">
        <f>-$F$62*F35</f>
        <v/>
      </c>
      <c r="G82" s="271">
        <f>-$F$62*G35</f>
        <v/>
      </c>
      <c r="H82" s="271">
        <f>-$F$62*H35</f>
        <v/>
      </c>
      <c r="I82" s="271">
        <f>-$F$62*I35</f>
        <v/>
      </c>
      <c r="J82" s="271">
        <f>-$F$62*J35</f>
        <v/>
      </c>
      <c r="K82" s="271">
        <f>SUM(E82:J82)</f>
        <v/>
      </c>
    </row>
    <row r="83">
      <c r="D83" s="258" t="inlineStr">
        <is>
          <t>الدخل الفعال</t>
        </is>
      </c>
      <c r="E83" s="271">
        <f>$F$45*E80*E37</f>
        <v/>
      </c>
      <c r="F83" s="271">
        <f>$F$45*F80*F37</f>
        <v/>
      </c>
      <c r="G83" s="271">
        <f>$F$45*G80*G37</f>
        <v/>
      </c>
      <c r="H83" s="271">
        <f>$F$45*H80*H37</f>
        <v/>
      </c>
      <c r="I83" s="271">
        <f>$F$45*I80*I37</f>
        <v/>
      </c>
      <c r="J83" s="271">
        <f>$F$45*J80*J37</f>
        <v/>
      </c>
      <c r="K83" s="271">
        <f>SUM(E83:J83)</f>
        <v/>
      </c>
    </row>
    <row r="84">
      <c r="D84" s="258" t="inlineStr">
        <is>
          <t>مصروفات التشغيل والصيانة</t>
        </is>
      </c>
      <c r="E84" s="271">
        <f>-E83*$F$30</f>
        <v/>
      </c>
      <c r="F84" s="271">
        <f>-F83*$F$30</f>
        <v/>
      </c>
      <c r="G84" s="271">
        <f>-G83*$F$30</f>
        <v/>
      </c>
      <c r="H84" s="271">
        <f>-H83*$F$30</f>
        <v/>
      </c>
      <c r="I84" s="271">
        <f>-I83*$F$30</f>
        <v/>
      </c>
      <c r="J84" s="271">
        <f>-J83*$F$30</f>
        <v/>
      </c>
      <c r="K84" s="271">
        <f>SUM(E84:J84)</f>
        <v/>
      </c>
    </row>
    <row r="85">
      <c r="D85" s="261" t="inlineStr">
        <is>
          <t>صافي الدخل التشغيلي (NOI)</t>
        </is>
      </c>
      <c r="E85" s="262">
        <f>E83+E84</f>
        <v/>
      </c>
      <c r="F85" s="262">
        <f>F83+F84</f>
        <v/>
      </c>
      <c r="G85" s="262">
        <f>G83+G84</f>
        <v/>
      </c>
      <c r="H85" s="262">
        <f>H83+H84</f>
        <v/>
      </c>
      <c r="I85" s="262">
        <f>I83+I84</f>
        <v/>
      </c>
      <c r="J85" s="262">
        <f>J83+J84</f>
        <v/>
      </c>
      <c r="K85" s="262">
        <f>SUM(E85:J85)</f>
        <v/>
      </c>
    </row>
    <row r="86">
      <c r="D86" s="258" t="inlineStr">
        <is>
          <t>قيمة بيع المبنى (NOI السنة المستقرة ÷ Cap Rate)</t>
        </is>
      </c>
      <c r="E86" s="271">
        <f>E38*$F$45*E80*0.95*(1-$F$30)/$F$32</f>
        <v/>
      </c>
      <c r="F86" s="271">
        <f>F38*$F$45*F80*0.95*(1-$F$30)/$F$32</f>
        <v/>
      </c>
      <c r="G86" s="271">
        <f>G38*$F$45*G80*0.95*(1-$F$30)/$F$32</f>
        <v/>
      </c>
      <c r="H86" s="271">
        <f>H38*$F$45*H80*0.95*(1-$F$30)/$F$32</f>
        <v/>
      </c>
      <c r="I86" s="271">
        <f>I38*$F$45*I80*0.95*(1-$F$30)/$F$32</f>
        <v/>
      </c>
      <c r="J86" s="271">
        <f>J38*$F$45*J80*0.95*(1-$F$30)/$F$32</f>
        <v/>
      </c>
      <c r="K86" s="271">
        <f>SUM(E86:J86)</f>
        <v/>
      </c>
      <c r="L86" s="273" t="inlineStr">
        <is>
          <t>القيمة على أساس إشغال مستقر 95%</t>
        </is>
      </c>
    </row>
    <row r="87">
      <c r="D87" s="258" t="inlineStr">
        <is>
          <t>تسويق وسعي على البيع</t>
        </is>
      </c>
      <c r="E87" s="271">
        <f>-E86*($F$26+$F$27)</f>
        <v/>
      </c>
      <c r="F87" s="271">
        <f>-F86*($F$26+$F$27)</f>
        <v/>
      </c>
      <c r="G87" s="271">
        <f>-G86*($F$26+$F$27)</f>
        <v/>
      </c>
      <c r="H87" s="271">
        <f>-H86*($F$26+$F$27)</f>
        <v/>
      </c>
      <c r="I87" s="271">
        <f>-I86*($F$26+$F$27)</f>
        <v/>
      </c>
      <c r="J87" s="271">
        <f>-J86*($F$26+$F$27)</f>
        <v/>
      </c>
      <c r="K87" s="271">
        <f>SUM(E87:J87)</f>
        <v/>
      </c>
    </row>
    <row r="88">
      <c r="D88" s="261" t="inlineStr">
        <is>
          <t>صافي التدفق النقدي</t>
        </is>
      </c>
      <c r="E88" s="262">
        <f>E81+E82+E85+E86+E87</f>
        <v/>
      </c>
      <c r="F88" s="262">
        <f>F81+F82+F85+F86+F87</f>
        <v/>
      </c>
      <c r="G88" s="262">
        <f>G81+G82+G85+G86+G87</f>
        <v/>
      </c>
      <c r="H88" s="262">
        <f>H81+H82+H85+H86+H87</f>
        <v/>
      </c>
      <c r="I88" s="262">
        <f>I81+I82+I85+I86+I87</f>
        <v/>
      </c>
      <c r="J88" s="262">
        <f>J81+J82+J85+J86+J87</f>
        <v/>
      </c>
      <c r="K88" s="262">
        <f>SUM(E88:J88)</f>
        <v/>
      </c>
    </row>
    <row r="89">
      <c r="D89" s="258" t="inlineStr">
        <is>
          <t>التدفق التراكمي</t>
        </is>
      </c>
      <c r="E89" s="271">
        <f>E88</f>
        <v/>
      </c>
      <c r="F89" s="271">
        <f>E89+F88</f>
        <v/>
      </c>
      <c r="G89" s="271">
        <f>F89+G88</f>
        <v/>
      </c>
      <c r="H89" s="271">
        <f>G89+H88</f>
        <v/>
      </c>
      <c r="I89" s="271">
        <f>H89+I88</f>
        <v/>
      </c>
      <c r="J89" s="271">
        <f>I89+J88</f>
        <v/>
      </c>
      <c r="K89" s="271" t="n"/>
    </row>
    <row r="91">
      <c r="A91" s="254" t="inlineStr">
        <is>
          <t>سادساً | المقارنة والنتيجة</t>
        </is>
      </c>
      <c r="B91" s="255" t="n"/>
      <c r="C91" s="255" t="n"/>
      <c r="D91" s="255" t="n"/>
      <c r="E91" s="255" t="n"/>
      <c r="F91" s="255" t="n"/>
      <c r="G91" s="255" t="n"/>
      <c r="H91" s="255" t="n"/>
      <c r="I91" s="255" t="n"/>
      <c r="J91" s="255" t="n"/>
      <c r="K91" s="255" t="n"/>
      <c r="L91" s="255" t="n"/>
    </row>
    <row r="93">
      <c r="D93" s="256" t="inlineStr">
        <is>
          <t>المؤشر</t>
        </is>
      </c>
      <c r="E93" s="257" t="inlineStr">
        <is>
          <t>سكني</t>
        </is>
      </c>
      <c r="F93" s="257" t="inlineStr">
        <is>
          <t>مكتبي</t>
        </is>
      </c>
      <c r="G93" s="257" t="inlineStr">
        <is>
          <t>الأفضل</t>
        </is>
      </c>
    </row>
    <row r="94">
      <c r="D94" s="258" t="inlineStr">
        <is>
          <t>إجمالي تكلفة المشروع</t>
        </is>
      </c>
      <c r="E94" s="271">
        <f>$E$64</f>
        <v/>
      </c>
      <c r="F94" s="271">
        <f>$F$64</f>
        <v/>
      </c>
      <c r="G94" s="274">
        <f>IF(E94&lt;F94,"سكني",IF(E94=F94,"متساوي","مكتبي"))</f>
        <v/>
      </c>
    </row>
    <row r="95">
      <c r="D95" s="258" t="inlineStr">
        <is>
          <t>إجمالي الإيرادات (مبيعات / دخل + قيمة البيع)</t>
        </is>
      </c>
      <c r="E95" s="271">
        <f>K72</f>
        <v/>
      </c>
      <c r="F95" s="271">
        <f>K85+K86</f>
        <v/>
      </c>
      <c r="G95" s="274">
        <f>IF(E95&gt;F95,"سكني",IF(E95=F95,"متساوي","مكتبي"))</f>
        <v/>
      </c>
    </row>
    <row r="96">
      <c r="D96" s="261" t="inlineStr">
        <is>
          <t>صافي الربح</t>
        </is>
      </c>
      <c r="E96" s="262">
        <f>K74</f>
        <v/>
      </c>
      <c r="F96" s="262">
        <f>K88</f>
        <v/>
      </c>
      <c r="G96" s="274">
        <f>IF(E96&gt;F96,"سكني",IF(E96=F96,"متساوي","مكتبي"))</f>
        <v/>
      </c>
    </row>
    <row r="97">
      <c r="D97" s="258" t="inlineStr">
        <is>
          <t>هامش الربح على التكلفة</t>
        </is>
      </c>
      <c r="E97" s="270">
        <f>E96/E94</f>
        <v/>
      </c>
      <c r="F97" s="270">
        <f>F96/F94</f>
        <v/>
      </c>
      <c r="G97" s="274">
        <f>IF(E97&gt;F97,"سكني",IF(E97=F97,"متساوي","مكتبي"))</f>
        <v/>
      </c>
    </row>
    <row r="98">
      <c r="D98" s="261" t="inlineStr">
        <is>
          <t>معدل العائد الداخلي IRR (بدون تمويل)</t>
        </is>
      </c>
      <c r="E98" s="275">
        <f>IFERROR(IRR(E74:J74),-1)</f>
        <v/>
      </c>
      <c r="F98" s="275">
        <f>IFERROR(IRR(E88:J88),-1)</f>
        <v/>
      </c>
      <c r="G98" s="274">
        <f>IF(E98&gt;F98,"سكني",IF(E98=F98,"متساوي","مكتبي"))</f>
        <v/>
      </c>
    </row>
    <row r="99">
      <c r="D99" s="258" t="inlineStr">
        <is>
          <t>أعلى رأس مال مطلوب (أدنى تدفق تراكمي)</t>
        </is>
      </c>
      <c r="E99" s="271">
        <f>-MIN(E75:J75)</f>
        <v/>
      </c>
      <c r="F99" s="271">
        <f>-MIN(E89:J89)</f>
        <v/>
      </c>
      <c r="G99" s="274">
        <f>IF(E99&lt;F99,"سكني",IF(E99=F99,"متساوي","مكتبي"))</f>
        <v/>
      </c>
    </row>
    <row r="100">
      <c r="D100" s="258" t="inlineStr">
        <is>
          <t>مكتبي: العائد على التكلفة (NOI مستقر ÷ التكلفة)</t>
        </is>
      </c>
      <c r="E100" s="270" t="n"/>
      <c r="F100" s="270">
        <f>$F$29*$F$45*0.95*(1-$F$30)/$F$64</f>
        <v/>
      </c>
      <c r="G100" s="274">
        <f>IF(F100&gt;$F$32,"مجدي: أعلى من Cap Rate","غير مجدي")</f>
        <v/>
      </c>
      <c r="L100" s="260" t="inlineStr">
        <is>
          <t>المشروع المكتبي مجدي إذا كان العائد على التكلفة أعلى من معامل الرسملة</t>
        </is>
      </c>
    </row>
    <row r="101">
      <c r="D101" s="258" t="inlineStr">
        <is>
          <t>نقطة التعادل: سعر بيع المتر السكني / إيجار المتر المكتبي</t>
        </is>
      </c>
      <c r="E101" s="271">
        <f>$E$64/($E$45*(1-$E$26-$E$27))</f>
        <v/>
      </c>
      <c r="F101" s="271">
        <f>$F$29*F94/(F95*(1-($F$26+$F$27)*K86/F95))</f>
        <v/>
      </c>
      <c r="G101" s="274" t="n"/>
      <c r="L101" s="260" t="inlineStr">
        <is>
          <t>سكني: سعر البيع الذي يغطي التكلفة · مكتبي: الإيجار الذي يغطي التكلفة (الإيرادات تتناسب طردياً مع الإيجار)</t>
        </is>
      </c>
    </row>
    <row r="103">
      <c r="D103" s="261" t="inlineStr">
        <is>
          <t>التوصية (حسب IRR وصافي الربح)</t>
        </is>
      </c>
      <c r="E103" s="276">
        <f>IF(AND(E98&gt;F98,E96&gt;F96),"السكني أفضل",IF(AND(F98&gt;E98,F96&gt;E96),"المكتبي أفضل","النتيجة متقاربة - راجع المؤشرات"))</f>
        <v/>
      </c>
    </row>
    <row r="105">
      <c r="A105" s="254" t="inlineStr">
        <is>
          <t>سابعاً | الحساسية: صافي الربح عند أسعار مختلفة</t>
        </is>
      </c>
      <c r="B105" s="255" t="n"/>
      <c r="C105" s="255" t="n"/>
      <c r="D105" s="255" t="n"/>
      <c r="E105" s="255" t="n"/>
      <c r="F105" s="255" t="n"/>
      <c r="G105" s="255" t="n"/>
      <c r="H105" s="255" t="n"/>
      <c r="I105" s="255" t="n"/>
      <c r="J105" s="255" t="n"/>
      <c r="K105" s="255" t="n"/>
      <c r="L105" s="255" t="n"/>
    </row>
    <row r="107">
      <c r="D107" s="256" t="inlineStr">
        <is>
          <t>سعر بيع المتر السكني</t>
        </is>
      </c>
      <c r="E107" s="257" t="inlineStr">
        <is>
          <t>صافي ربح السكني</t>
        </is>
      </c>
      <c r="F107" s="257" t="inlineStr">
        <is>
          <t>هامش السكني</t>
        </is>
      </c>
      <c r="G107" s="257" t="inlineStr"/>
      <c r="H107" s="257" t="inlineStr">
        <is>
          <t>إيجار المتر المكتبي</t>
        </is>
      </c>
      <c r="I107" s="257" t="inlineStr">
        <is>
          <t>صافي ربح المكتبي</t>
        </is>
      </c>
      <c r="J107" s="257" t="inlineStr">
        <is>
          <t>هامش المكتبي</t>
        </is>
      </c>
    </row>
    <row r="108">
      <c r="D108" s="264" t="n">
        <v>8000</v>
      </c>
      <c r="E108" s="271">
        <f>D108*$E$45*(1-$E$26-$E$27)-$E$64</f>
        <v/>
      </c>
      <c r="F108" s="270">
        <f>E108/$E$64</f>
        <v/>
      </c>
      <c r="H108" s="264" t="n">
        <v>1200</v>
      </c>
      <c r="I108" s="271">
        <f>F95*H108/$F$29-($F$26+$F$27)*K86*H108/$F$29-F94</f>
        <v/>
      </c>
      <c r="J108" s="270">
        <f>I108/F94</f>
        <v/>
      </c>
    </row>
    <row r="109">
      <c r="D109" s="264" t="n">
        <v>9000</v>
      </c>
      <c r="E109" s="271">
        <f>D109*$E$45*(1-$E$26-$E$27)-$E$64</f>
        <v/>
      </c>
      <c r="F109" s="270">
        <f>E109/$E$64</f>
        <v/>
      </c>
      <c r="H109" s="264" t="n">
        <v>1400</v>
      </c>
      <c r="I109" s="271">
        <f>F95*H109/$F$29-($F$26+$F$27)*K86*H109/$F$29-F94</f>
        <v/>
      </c>
      <c r="J109" s="270">
        <f>I109/F94</f>
        <v/>
      </c>
    </row>
    <row r="110">
      <c r="D110" s="264" t="n">
        <v>10000</v>
      </c>
      <c r="E110" s="271">
        <f>D110*$E$45*(1-$E$26-$E$27)-$E$64</f>
        <v/>
      </c>
      <c r="F110" s="270">
        <f>E110/$E$64</f>
        <v/>
      </c>
      <c r="H110" s="264" t="n">
        <v>1600</v>
      </c>
      <c r="I110" s="271">
        <f>F95*H110/$F$29-($F$26+$F$27)*K86*H110/$F$29-F94</f>
        <v/>
      </c>
      <c r="J110" s="270">
        <f>I110/F94</f>
        <v/>
      </c>
    </row>
    <row r="111">
      <c r="D111" s="264" t="n">
        <v>11000</v>
      </c>
      <c r="E111" s="271">
        <f>D111*$E$45*(1-$E$26-$E$27)-$E$64</f>
        <v/>
      </c>
      <c r="F111" s="270">
        <f>E111/$E$64</f>
        <v/>
      </c>
      <c r="H111" s="264" t="n">
        <v>1800</v>
      </c>
      <c r="I111" s="271">
        <f>F95*H111/$F$29-($F$26+$F$27)*K86*H111/$F$29-F94</f>
        <v/>
      </c>
      <c r="J111" s="270">
        <f>I111/F94</f>
        <v/>
      </c>
    </row>
    <row r="112">
      <c r="D112" s="264" t="n">
        <v>12000</v>
      </c>
      <c r="E112" s="271">
        <f>D112*$E$45*(1-$E$26-$E$27)-$E$64</f>
        <v/>
      </c>
      <c r="F112" s="270">
        <f>E112/$E$64</f>
        <v/>
      </c>
      <c r="H112" s="264" t="n">
        <v>2000</v>
      </c>
      <c r="I112" s="271">
        <f>F95*H112/$F$29-($F$26+$F$27)*K86*H112/$F$29-F94</f>
        <v/>
      </c>
      <c r="J112" s="270">
        <f>I112/F94</f>
        <v/>
      </c>
    </row>
    <row r="113">
      <c r="D113" s="264" t="n">
        <v>13000</v>
      </c>
      <c r="E113" s="271">
        <f>D113*$E$45*(1-$E$26-$E$27)-$E$64</f>
        <v/>
      </c>
      <c r="F113" s="270">
        <f>E113/$E$64</f>
        <v/>
      </c>
      <c r="H113" s="264" t="n">
        <v>2200</v>
      </c>
      <c r="I113" s="271">
        <f>F95*H113/$F$29-($F$26+$F$27)*K86*H113/$F$29-F94</f>
        <v/>
      </c>
      <c r="J113" s="270">
        <f>I113/F94</f>
        <v/>
      </c>
    </row>
    <row r="114">
      <c r="D114" s="264" t="n">
        <v>15000</v>
      </c>
      <c r="E114" s="271">
        <f>D114*$E$45*(1-$E$26-$E$27)-$E$64</f>
        <v/>
      </c>
      <c r="F114" s="270">
        <f>E114/$E$64</f>
        <v/>
      </c>
      <c r="H114" s="264" t="n">
        <v>2400</v>
      </c>
      <c r="I114" s="271">
        <f>F95*H114/$F$29-($F$26+$F$27)*K86*H114/$F$29-F94</f>
        <v/>
      </c>
      <c r="J114" s="270">
        <f>I114/F94</f>
        <v/>
      </c>
    </row>
    <row r="115">
      <c r="D115" s="277" t="inlineStr">
        <is>
          <t>الحساسية تفترض ثبات التكاليف والتوزيع الزمني؛ الإيرادات والسعي تتغير خطياً مع السعر/الإيجار.</t>
        </is>
      </c>
    </row>
    <row r="117">
      <c r="A117" s="278" t="inlineStr">
        <is>
          <t>ملاحظات</t>
        </is>
      </c>
      <c r="B117" s="255" t="n"/>
      <c r="C117" s="255" t="n"/>
      <c r="D117" s="255" t="n"/>
      <c r="E117" s="255" t="n"/>
      <c r="F117" s="255" t="n"/>
      <c r="G117" s="255" t="n"/>
      <c r="H117" s="255" t="n"/>
      <c r="I117" s="255" t="n"/>
      <c r="J117" s="255" t="n"/>
      <c r="K117" s="255" t="n"/>
      <c r="L117" s="255" t="n"/>
    </row>
    <row r="118">
      <c r="D118" s="277" t="inlineStr">
        <is>
          <t>1) لم تُعدَّل أي خلية في الورقتين الأصليتين؛ هذه الورقة تقرأ منهما فقط.</t>
        </is>
      </c>
    </row>
    <row r="119">
      <c r="D119" s="277" t="inlineStr">
        <is>
          <t>2) سعر بيع السكني (9,000 ريال/م²) ومعامل الرسملة (8%) ونِسب الإشغال افتراضات للتحقق من السوق - عدّلها في الخلايا الصفراء.</t>
        </is>
      </c>
    </row>
    <row r="120">
      <c r="D120" s="277" t="inlineStr">
        <is>
          <t>3) في ورقة قطعة 34 - السيناريو (2): المواقف المكتبية محسوبة كـ (عدد وحدات × 43) فخرجت 1,901 موقف و30 قبو؛ الصحيح هنا: المساحة الصافية ÷ 43 م².</t>
        </is>
      </c>
    </row>
    <row r="121">
      <c r="D121" s="277" t="inlineStr">
        <is>
          <t>4) في ورقة الندي: صفوف "بيع الشقق" (84-106) تقرأ من عمود المكتبي F21، وصف "مكتبي" (119-126) يقرأ من عمود التجاري G21 - لذلك بُنيت هذه المقارنة مستقلة.</t>
        </is>
      </c>
    </row>
    <row r="122">
      <c r="D122" s="277" t="inlineStr">
        <is>
          <t>5) الحسابات بدون تمويل بنكي وبدون رسوم صندوق؛ ضريبة التصرفات العقارية على المشتري.</t>
        </is>
      </c>
    </row>
  </sheetData>
  <mergeCells count="1">
    <mergeCell ref="E103:G103"/>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M136"/>
  <sheetViews>
    <sheetView rightToLeft="1" topLeftCell="A101" zoomScaleNormal="100" workbookViewId="0">
      <selection activeCell="A112" sqref="A112:J112"/>
    </sheetView>
  </sheetViews>
  <sheetFormatPr baseColWidth="8" defaultColWidth="8.85546875" defaultRowHeight="15"/>
  <cols>
    <col width="2.42578125" customWidth="1" style="240" min="1" max="3"/>
    <col width="50" customWidth="1" style="240" min="4" max="4"/>
    <col width="15" customWidth="1" style="240" min="5" max="10"/>
  </cols>
  <sheetData>
    <row r="1" ht="18.75" customHeight="1" s="240">
      <c r="A1" s="239" t="inlineStr">
        <is>
          <t>دراسة تطويرية - قطعة رقم 34 - كود البناء التطبيقي T5.3 (المسار الرياضي)</t>
        </is>
      </c>
    </row>
    <row r="2">
      <c r="A2" s="245" t="inlineStr">
        <is>
          <t>المسطحات البنائية الكاملة بعد خصم ارتدادات الأدوار (وبالأخص الدور الأرضي)، مع مراعاة اشتراطات الفراغات المفتوحة - أربعة سيناريوهات تطويرية</t>
        </is>
      </c>
    </row>
    <row r="4" ht="22.35" customHeight="1" s="240">
      <c r="A4" s="244" t="inlineStr">
        <is>
          <t>أولاً | بيانات الأرض (قطعة رقم 34)</t>
        </is>
      </c>
    </row>
    <row r="6">
      <c r="D6" s="212" t="inlineStr">
        <is>
          <t>البند</t>
        </is>
      </c>
      <c r="E6" s="213" t="inlineStr">
        <is>
          <t>القيمة</t>
        </is>
      </c>
      <c r="F6" s="213" t="inlineStr">
        <is>
          <t>الوحدة</t>
        </is>
      </c>
    </row>
    <row r="7">
      <c r="D7" s="214" t="inlineStr">
        <is>
          <t>رقم القطعة</t>
        </is>
      </c>
      <c r="E7" s="215" t="n">
        <v>34</v>
      </c>
      <c r="F7" s="216" t="n"/>
    </row>
    <row r="8">
      <c r="D8" s="214" t="inlineStr">
        <is>
          <t>إجمالي مساحة الأرض (حسب الصك/المخطط المساحي)</t>
        </is>
      </c>
      <c r="E8" s="217" t="n">
        <v>2681</v>
      </c>
      <c r="F8" s="216" t="inlineStr">
        <is>
          <t>م²</t>
        </is>
      </c>
    </row>
    <row r="9">
      <c r="D9" s="214" t="inlineStr">
        <is>
          <t>نوع الموقع</t>
        </is>
      </c>
      <c r="E9" s="218" t="inlineStr">
        <is>
          <t>زاوية على شارعين (مدخل السيارات من الشارع الجانبي إلزامياً)</t>
        </is>
      </c>
      <c r="F9" s="216" t="n"/>
    </row>
    <row r="10">
      <c r="D10" s="214" t="inlineStr">
        <is>
          <t>طول الواجهة على الشارع الرئيسي (طريق الأمير محمد بن سلمان بن عبدالعزيز)</t>
        </is>
      </c>
      <c r="E10" s="219" t="n">
        <v>60.43</v>
      </c>
      <c r="F10" s="216" t="inlineStr">
        <is>
          <t>م</t>
        </is>
      </c>
    </row>
    <row r="11">
      <c r="D11" s="214" t="inlineStr">
        <is>
          <t>طول الواجهة على الشارع الجانبي (شارع وادي الزرقاء) = 29.61+13.81</t>
        </is>
      </c>
      <c r="E11" s="219">
        <f>29.61+13.81</f>
        <v/>
      </c>
      <c r="F11" s="216" t="inlineStr">
        <is>
          <t>م</t>
        </is>
      </c>
    </row>
    <row r="12">
      <c r="D12" s="214" t="inlineStr">
        <is>
          <t>طول الضلع الداخلي الخلفي (مجاور قطعة رقم 33)</t>
        </is>
      </c>
      <c r="E12" s="219" t="n">
        <v>70.13</v>
      </c>
      <c r="F12" s="216" t="inlineStr">
        <is>
          <t>م</t>
        </is>
      </c>
    </row>
    <row r="13">
      <c r="D13" s="214" t="inlineStr">
        <is>
          <t>طول الضلع الداخلي الجانبي (مجاور القطعة المجاورة يساراً)</t>
        </is>
      </c>
      <c r="E13" s="219" t="n">
        <v>39.48</v>
      </c>
      <c r="F13" s="216" t="inlineStr">
        <is>
          <t>م</t>
        </is>
      </c>
    </row>
    <row r="14">
      <c r="D14" s="214" t="inlineStr">
        <is>
          <t>متوسط عرض القطعة (البعد الموازي للشارع الرئيسي)</t>
        </is>
      </c>
      <c r="E14" s="220">
        <f>AVERAGE(E10,E12)</f>
        <v/>
      </c>
      <c r="F14" s="216" t="inlineStr">
        <is>
          <t>م</t>
        </is>
      </c>
    </row>
    <row r="15">
      <c r="D15" s="214" t="inlineStr">
        <is>
          <t>متوسط عمق القطعة (البعد العمودي على الشارع الرئيسي)</t>
        </is>
      </c>
      <c r="E15" s="220">
        <f>AVERAGE(E11,E13)</f>
        <v/>
      </c>
      <c r="F15" s="216" t="inlineStr">
        <is>
          <t>م</t>
        </is>
      </c>
    </row>
    <row r="16">
      <c r="D16" s="214" t="inlineStr">
        <is>
          <t>مساحة تقريبية (متوسط العرض × متوسط العمق) - تدقيق حسابي</t>
        </is>
      </c>
      <c r="E16" s="221">
        <f>E14*E15</f>
        <v/>
      </c>
      <c r="F16" s="216" t="inlineStr">
        <is>
          <t>م²</t>
        </is>
      </c>
    </row>
    <row r="17">
      <c r="D17" s="214" t="inlineStr">
        <is>
          <t>الفرق عن المساحة الرسمية</t>
        </is>
      </c>
      <c r="E17" s="222">
        <f>E16/E8-1</f>
        <v/>
      </c>
    </row>
    <row r="19">
      <c r="A19" s="242" t="inlineStr">
        <is>
          <t>ملاحظة: الأبعاد أعلاه مأخوذة تقريبياً من مخطط الموقع المرفق للقطعة رقم 34. الأبعاد الدقيقة تُعتمد من كروكي المساحة الرسمي عند التصميم التنفيذي؛ نسبة الفرق البسيطة أعلاه ناتجة عن كون القطعة شبه منحرفة الشكل وليست مستطيلة تماماً.</t>
        </is>
      </c>
    </row>
    <row r="21" ht="22.35" customHeight="1" s="240">
      <c r="A21" s="244" t="inlineStr">
        <is>
          <t>ثانياً | جدول ارتدادات كود T5.3 - قطعة زاوية على شارعين (قابلة للتعديل - خط أزرق)</t>
        </is>
      </c>
    </row>
    <row r="23" ht="30" customHeight="1" s="240">
      <c r="D23" s="223" t="inlineStr">
        <is>
          <t>مجموعة الأدوار</t>
        </is>
      </c>
      <c r="E23" s="223" t="inlineStr">
        <is>
          <t>ارتداد الشارع الرئيسي (م)</t>
        </is>
      </c>
      <c r="F23" s="223" t="inlineStr">
        <is>
          <t>ارتداد الشارع الجانبي (م)</t>
        </is>
      </c>
      <c r="G23" s="223" t="inlineStr">
        <is>
          <t>ارتداد الجانب الداخلي (م)</t>
        </is>
      </c>
      <c r="H23" s="223" t="inlineStr">
        <is>
          <t>ارتداد الخلف الداخلي (م)</t>
        </is>
      </c>
      <c r="I23" s="223" t="inlineStr">
        <is>
          <t>نسبة تغطية البناء الناتجة</t>
        </is>
      </c>
      <c r="J23" s="223" t="inlineStr">
        <is>
          <t>مساحة بناء الدور الواحد (م²)</t>
        </is>
      </c>
    </row>
    <row r="24">
      <c r="D24" s="224" t="inlineStr">
        <is>
          <t>الدور الأرضي</t>
        </is>
      </c>
      <c r="E24" s="219" t="n">
        <v>4</v>
      </c>
      <c r="F24" s="219" t="n">
        <v>4</v>
      </c>
      <c r="G24" s="219" t="n">
        <v>3</v>
      </c>
      <c r="H24" s="219" t="n">
        <v>3</v>
      </c>
      <c r="I24" s="222">
        <f>J24/E8</f>
        <v/>
      </c>
      <c r="J24" s="221">
        <f>(E14-F24-G24)*(E15-E24-H24)</f>
        <v/>
      </c>
      <c r="K24" s="234">
        <f>J24</f>
        <v/>
      </c>
      <c r="L24">
        <f>J24*85%</f>
        <v/>
      </c>
      <c r="M24" s="234">
        <f>K24-350</f>
        <v/>
      </c>
    </row>
    <row r="25">
      <c r="D25" s="224" t="inlineStr">
        <is>
          <t>الدور الأول والثاني (لكل دور)</t>
        </is>
      </c>
      <c r="E25" s="219" t="n">
        <v>4</v>
      </c>
      <c r="F25" s="219" t="n">
        <v>4</v>
      </c>
      <c r="G25" s="219" t="n">
        <v>3</v>
      </c>
      <c r="H25" s="219" t="n">
        <v>3</v>
      </c>
      <c r="I25" s="222">
        <f>J25/E8</f>
        <v/>
      </c>
      <c r="J25" s="221">
        <f>(E14-F25-G25)*(E15-E25-H25)</f>
        <v/>
      </c>
      <c r="K25">
        <f>J25*2</f>
        <v/>
      </c>
    </row>
    <row r="26">
      <c r="D26" s="224" t="inlineStr">
        <is>
          <t>الدور الثالث والرابع (لكل دور)*</t>
        </is>
      </c>
      <c r="E26" s="219" t="n">
        <v>6.5</v>
      </c>
      <c r="F26" s="219" t="n">
        <v>6.5</v>
      </c>
      <c r="G26" s="219" t="n">
        <v>3</v>
      </c>
      <c r="H26" s="219" t="n">
        <v>3</v>
      </c>
      <c r="I26" s="222">
        <f>J26/E8</f>
        <v/>
      </c>
      <c r="J26" s="221">
        <f>(E14-F26-G26)*(E15-E26-H26)</f>
        <v/>
      </c>
      <c r="K26">
        <f>J26*2</f>
        <v/>
      </c>
    </row>
    <row r="27">
      <c r="K27" s="234">
        <f>SUM(K24:K26)</f>
        <v/>
      </c>
    </row>
    <row r="28">
      <c r="A28" s="242" t="inlineStr">
        <is>
          <t>* حسب الكود: ارتداد الدور الثالث والرابع عن الشارع (الرئيسي/الجانبي) يتراوح 5.5-7.5م على 65% من طول الواجهة، و35% المتبقية يجوز أن تبقى على حد ارتداد الدور الأدنى. تم اعتماد متوسط 6.5م لتبسيط حساب المسطحات الإجمالية في هذه الدراسة (تقدير محافظ، قابل للتفصيل في مرحلة التصميم المعماري).</t>
        </is>
      </c>
    </row>
    <row r="30" ht="22.35" customHeight="1" s="240">
      <c r="A30" s="244" t="inlineStr">
        <is>
          <t>ثالثاً | إجمالي المسطحات البنائية وخياري الارتفاع (4 أو 5 أدوار)</t>
        </is>
      </c>
    </row>
    <row r="32">
      <c r="D32" s="212" t="inlineStr">
        <is>
          <t>البند</t>
        </is>
      </c>
      <c r="E32" s="213" t="inlineStr">
        <is>
          <t>القيمة</t>
        </is>
      </c>
      <c r="F32" s="213" t="inlineStr">
        <is>
          <t>الوحدة</t>
        </is>
      </c>
    </row>
    <row r="33">
      <c r="D33" s="214" t="inlineStr">
        <is>
          <t>مساحة بناء الدور الأرضي (بعد خصم الارتدادات)</t>
        </is>
      </c>
      <c r="E33" s="221">
        <f>J24</f>
        <v/>
      </c>
      <c r="F33" s="216" t="inlineStr">
        <is>
          <t>م²</t>
        </is>
      </c>
    </row>
    <row r="34">
      <c r="D34" s="214" t="inlineStr">
        <is>
          <t>مساحة بناء الدور الواحد (أول/ثاني)</t>
        </is>
      </c>
      <c r="E34" s="221">
        <f>J25</f>
        <v/>
      </c>
      <c r="F34" s="216" t="inlineStr">
        <is>
          <t>م²</t>
        </is>
      </c>
    </row>
    <row r="35">
      <c r="D35" s="214" t="inlineStr">
        <is>
          <t>مساحة بناء الدور الواحد (ثالث/رابع)</t>
        </is>
      </c>
      <c r="E35" s="221">
        <f>J26</f>
        <v/>
      </c>
      <c r="F35" s="216" t="inlineStr">
        <is>
          <t>م²</t>
        </is>
      </c>
    </row>
    <row r="36">
      <c r="D36" s="214" t="inlineStr">
        <is>
          <t>نسبة تغطية البناء الفعلية بالدور الأرضي (الحد النظامي 50%-75%)</t>
        </is>
      </c>
      <c r="E36" s="222">
        <f>E33/E8</f>
        <v/>
      </c>
    </row>
    <row r="37">
      <c r="D37" s="214" t="inlineStr">
        <is>
          <t>نسبة الفراغ المفتوح الناتجة بالدور الأرضي (الحد الأدنى النظامي 25%)</t>
        </is>
      </c>
      <c r="E37" s="222">
        <f>1-E36</f>
        <v/>
      </c>
    </row>
    <row r="38">
      <c r="D38" s="214" t="inlineStr">
        <is>
          <t>التحقق من اشتراط الفراغ المفتوح</t>
        </is>
      </c>
      <c r="E38" s="246">
        <f>IF(E37&gt;=0.25,"محقق ✓ (يتوافق مع 25% كحد أدنى)","غير محقق - يلزم تخفيض مساحة البناء")</f>
        <v/>
      </c>
      <c r="F38" s="247" t="n"/>
      <c r="G38" s="248" t="n"/>
    </row>
    <row r="40">
      <c r="D40" s="224" t="inlineStr">
        <is>
          <t>الخيار (أ): ارتفاع 4 أدوار - أرضي + أول + ثاني + ثالث (الحد الأدنى للكود)</t>
        </is>
      </c>
    </row>
    <row r="41">
      <c r="D41" s="214" t="inlineStr">
        <is>
          <t>إجمالي المسطحات البنائية</t>
        </is>
      </c>
      <c r="E41" s="225">
        <f>E33+E34*2+E35</f>
        <v/>
      </c>
      <c r="F41" s="216" t="inlineStr">
        <is>
          <t>م²</t>
        </is>
      </c>
    </row>
    <row r="42">
      <c r="D42" s="214" t="inlineStr">
        <is>
          <t>معامل البناء الفعلي (FAR)</t>
        </is>
      </c>
      <c r="E42" s="226">
        <f>E41/E8</f>
        <v/>
      </c>
    </row>
    <row r="44">
      <c r="D44" s="224" t="inlineStr">
        <is>
          <t>الخيار (ب): ارتفاع 5 أدوار - أرضي + أول + ثاني + ثالث + رابع (الحد الأقصى للكود) — المعتمد في السيناريوهات أدناه</t>
        </is>
      </c>
    </row>
    <row r="45">
      <c r="D45" s="214" t="inlineStr">
        <is>
          <t>إجمالي المسطحات البنائية</t>
        </is>
      </c>
      <c r="E45" s="225">
        <f>E33+E34*2+E35*2</f>
        <v/>
      </c>
      <c r="F45" s="216" t="inlineStr">
        <is>
          <t>م²</t>
        </is>
      </c>
    </row>
    <row r="46">
      <c r="D46" s="214" t="inlineStr">
        <is>
          <t>معامل البناء الفعلي (FAR)</t>
        </is>
      </c>
      <c r="E46" s="226">
        <f>E45/E8</f>
        <v/>
      </c>
    </row>
    <row r="48">
      <c r="A48" s="242" t="inlineStr">
        <is>
          <t>المسطحات أعلاه لا تشمل أدوار القبو (المواقف)، ولا تشمل حصة الشرف/التراسات الإضافية الخاضعة لاشتراط 15% كحد أدنى فراغ مفتوح بالأسطح والشرفات - ويُنصح تخصيصها كمساحات مشتركة غير بيعية.</t>
        </is>
      </c>
    </row>
    <row r="50" ht="22.35" customHeight="1" s="240">
      <c r="A50" s="244" t="inlineStr">
        <is>
          <t>رابعاً | مواقف السيارات - الأرض المتبقية والمواقف السطحية (مشترك بين كل السيناريوهات)</t>
        </is>
      </c>
    </row>
    <row r="52">
      <c r="D52" s="212" t="inlineStr">
        <is>
          <t>البند</t>
        </is>
      </c>
      <c r="E52" s="213" t="inlineStr">
        <is>
          <t>القيمة</t>
        </is>
      </c>
      <c r="F52" s="213" t="inlineStr">
        <is>
          <t>الوحدة</t>
        </is>
      </c>
    </row>
    <row r="53">
      <c r="D53" s="214" t="inlineStr">
        <is>
          <t>المساحة المتبقية بالدور الأرضي بعد الارتدادات (فراغ مفتوح)</t>
        </is>
      </c>
      <c r="E53" s="221">
        <f>E8-E33</f>
        <v/>
      </c>
      <c r="F53" s="216" t="inlineStr">
        <is>
          <t>م²</t>
        </is>
      </c>
    </row>
    <row r="54">
      <c r="D54" s="214" t="inlineStr">
        <is>
          <t>الحد الأقصى لنسبة الهاردسكيب (مواقف/ممرات) من الفراغ المفتوح - حسب كود الاستدامة</t>
        </is>
      </c>
      <c r="E54" s="227" t="n">
        <v>0.6</v>
      </c>
    </row>
    <row r="55">
      <c r="D55" s="214" t="inlineStr">
        <is>
          <t>المساحة القابلة لاستخدامها كمواقف سطحية</t>
        </is>
      </c>
      <c r="E55" s="221">
        <f>E53*E54</f>
        <v/>
      </c>
      <c r="F55" s="216" t="inlineStr">
        <is>
          <t>م²</t>
        </is>
      </c>
    </row>
    <row r="56">
      <c r="D56" s="214" t="inlineStr">
        <is>
          <t>متوسط مساحة الموقف السطحي الواحد</t>
        </is>
      </c>
      <c r="E56" s="217" t="n">
        <v>25</v>
      </c>
      <c r="F56" s="216" t="inlineStr">
        <is>
          <t>م²/موقف</t>
        </is>
      </c>
    </row>
    <row r="57">
      <c r="D57" s="214" t="inlineStr">
        <is>
          <t>عدد المواقف السطحية التقديري المتاح</t>
        </is>
      </c>
      <c r="E57" s="225">
        <f>FLOOR(E55/E56,1)</f>
        <v/>
      </c>
      <c r="F57" s="216" t="inlineStr">
        <is>
          <t>موقف</t>
        </is>
      </c>
    </row>
    <row r="58">
      <c r="D58" s="214" t="inlineStr">
        <is>
          <t>متوسط مساحة الموقف الواحد بالقبو (شامل الممرات والمنحدرات)</t>
        </is>
      </c>
      <c r="E58" s="217" t="n">
        <v>42</v>
      </c>
      <c r="F58" s="216" t="inlineStr">
        <is>
          <t>م²/موقف</t>
        </is>
      </c>
    </row>
    <row r="60">
      <c r="A60" s="242" t="inlineStr">
        <is>
          <t>المواقف السطحية أعلاه محدودة باشتراط ألا تتجاوز مساحات الهاردسكيب 60% من مساحة الفراغات المفتوحة (بما يتوافق مع اشتراطات الاستدامة بالكود)، وبالتالي فإن معظم احتياج المواقف الفعلي في هذا الموقع سيُحل عبر أدوار قبو، بحسب اشتراط 'مبنى متعدد الاستخدامات بمواقف سفلية' المتاح في الكود بحد أقصى 5 أدوار.</t>
        </is>
      </c>
    </row>
    <row r="62" ht="22.35" customHeight="1" s="240">
      <c r="A62" s="244" t="inlineStr">
        <is>
          <t>خامساً | السيناريوهات التطويرية الأربعة (على أساس الارتفاع الأقصى: 5 أدوار)</t>
        </is>
      </c>
    </row>
    <row r="64" ht="22.35" customHeight="1" s="240">
      <c r="A64" s="250" t="inlineStr">
        <is>
          <t>السيناريو (1): برج سكني بالكامل</t>
        </is>
      </c>
    </row>
    <row r="65">
      <c r="A65" s="241" t="inlineStr">
        <is>
          <t>توزيع الأدوار: جميع الأدوار الخمسة (الأرضي + الأول + الثاني + الثالث + الرابع) شقق سكنية للبيع/التأجير، مع دور بدروم كمواقف. مدخل مستقل للسيارات من الشارع الجانبي (وادي الزرقاء).</t>
        </is>
      </c>
    </row>
    <row r="66" ht="24" customHeight="1" s="240">
      <c r="D66" s="212" t="inlineStr">
        <is>
          <t>البند</t>
        </is>
      </c>
      <c r="E66" s="223" t="inlineStr">
        <is>
          <t>سكني (شقق للبيع)</t>
        </is>
      </c>
      <c r="F66" s="223" t="inlineStr">
        <is>
          <t>مكتبي</t>
        </is>
      </c>
      <c r="G66" s="223" t="inlineStr">
        <is>
          <t>تجاري</t>
        </is>
      </c>
      <c r="H66" s="223" t="inlineStr">
        <is>
          <t>فندقي</t>
        </is>
      </c>
      <c r="I66" s="213" t="inlineStr">
        <is>
          <t>المجموع</t>
        </is>
      </c>
    </row>
    <row r="67">
      <c r="D67" s="214" t="inlineStr">
        <is>
          <t>المسطح الكلي المخصص للاستخدام (م²)</t>
        </is>
      </c>
      <c r="E67" s="221">
        <f>E33+E34*2+E35*2</f>
        <v/>
      </c>
      <c r="F67" s="221" t="n">
        <v>0</v>
      </c>
      <c r="G67" s="221" t="n">
        <v>0</v>
      </c>
      <c r="H67" s="221" t="n">
        <v>0</v>
      </c>
      <c r="I67" s="225">
        <f>SUM(E67:H67)</f>
        <v/>
      </c>
    </row>
    <row r="68">
      <c r="D68" s="214" t="inlineStr">
        <is>
          <t>نسبة المساحة الصافية (البيعية/التأجيرية)</t>
        </is>
      </c>
      <c r="E68" s="227" t="n">
        <v>0.85</v>
      </c>
      <c r="F68" s="227" t="n">
        <v>0</v>
      </c>
      <c r="G68" s="227" t="n">
        <v>0</v>
      </c>
      <c r="H68" s="227" t="n">
        <v>0</v>
      </c>
    </row>
    <row r="69">
      <c r="D69" s="214" t="inlineStr">
        <is>
          <t>المساحة الصافية (البيعية/التأجيرية) م²</t>
        </is>
      </c>
      <c r="E69" s="221">
        <f>E67*E68</f>
        <v/>
      </c>
      <c r="F69" s="221">
        <f>F67*F68</f>
        <v/>
      </c>
      <c r="G69" s="221">
        <f>G67*G68</f>
        <v/>
      </c>
      <c r="H69" s="221">
        <f>H67*H68</f>
        <v/>
      </c>
      <c r="I69" s="225">
        <f>SUM(E69:H69)</f>
        <v/>
      </c>
    </row>
    <row r="70">
      <c r="D70" s="214" t="inlineStr">
        <is>
          <t>متوسط مساحة الوحدة (0 = مساحة تأجيرية مباشرة)</t>
        </is>
      </c>
      <c r="E70" s="217" t="n">
        <v>130</v>
      </c>
      <c r="F70" s="217" t="n">
        <v>0</v>
      </c>
      <c r="G70" s="217" t="n">
        <v>0</v>
      </c>
      <c r="H70" s="217" t="n">
        <v>0</v>
      </c>
    </row>
    <row r="71">
      <c r="D71" s="214" t="inlineStr">
        <is>
          <t>عدد الوحدات / المحلات (أو المساحة التأجيرية م² إن لم يوجد متوسط)</t>
        </is>
      </c>
      <c r="E71" s="221">
        <f>IF(E70&gt;0,IFERROR(E69/E70,0),E69)</f>
        <v/>
      </c>
      <c r="F71" s="221">
        <f>IF(F70&gt;0,IFERROR(F69/F70,0),F69)</f>
        <v/>
      </c>
      <c r="G71" s="221">
        <f>IF(G70&gt;0,IFERROR(G69/G70,0),G69)</f>
        <v/>
      </c>
      <c r="H71" s="221">
        <f>IF(H70&gt;0,IFERROR(H69/H70,0),H69)</f>
        <v/>
      </c>
    </row>
    <row r="72">
      <c r="D72" s="214" t="inlineStr">
        <is>
          <t>معدل متطلبات الموقف حسب كود T5.3</t>
        </is>
      </c>
      <c r="E72" s="219" t="n">
        <v>1</v>
      </c>
      <c r="F72" s="219" t="n">
        <v>0</v>
      </c>
      <c r="G72" s="219" t="n">
        <v>0</v>
      </c>
      <c r="H72" s="219" t="n">
        <v>0</v>
      </c>
    </row>
    <row r="73">
      <c r="D73" s="214" t="inlineStr">
        <is>
          <t>وحدة المعدل</t>
        </is>
      </c>
      <c r="E73" s="228" t="inlineStr">
        <is>
          <t>موقف / وحدة سكنية</t>
        </is>
      </c>
      <c r="F73" s="228" t="n"/>
      <c r="G73" s="228" t="n"/>
      <c r="H73" s="228" t="n"/>
    </row>
    <row r="74">
      <c r="D74" s="214" t="inlineStr">
        <is>
          <t>عدد المواقف المطلوبة</t>
        </is>
      </c>
      <c r="E74" s="221">
        <f>IF(E70&gt;0,E71*E72,IFERROR(E71/E72,0))</f>
        <v/>
      </c>
      <c r="F74" s="221">
        <f>IF(F70&gt;0,F71*F72,IFERROR(F71/F72,0))</f>
        <v/>
      </c>
      <c r="G74" s="221">
        <f>IF(G70&gt;0,G71*G72,IFERROR(G71/G72,0))</f>
        <v/>
      </c>
      <c r="H74" s="221">
        <f>IF(H70&gt;0,H71*H72,IFERROR(H71/H72,0))</f>
        <v/>
      </c>
      <c r="I74" s="225">
        <f>SUM(E74:H74)</f>
        <v/>
      </c>
    </row>
    <row r="75">
      <c r="D75" s="214" t="inlineStr">
        <is>
          <t>عدد المواقف السطحية المتاحة (من القسم رابعاً - مشترك)</t>
        </is>
      </c>
      <c r="I75" s="221">
        <f>$E$57</f>
        <v/>
      </c>
    </row>
    <row r="76">
      <c r="D76" s="214" t="inlineStr">
        <is>
          <t>صافي عدد المواقف المطلوبة بالقبو</t>
        </is>
      </c>
      <c r="I76" s="225">
        <f>MAX(0,I74-I75)</f>
        <v/>
      </c>
    </row>
    <row r="77">
      <c r="D77" s="214" t="inlineStr">
        <is>
          <t>مساحة القبو اللازمة للمواقف (م²)</t>
        </is>
      </c>
      <c r="I77" s="221">
        <f>I76*$E$58</f>
        <v/>
      </c>
    </row>
    <row r="78">
      <c r="D78" s="214" t="inlineStr">
        <is>
          <t>عدد أدوار القبو التقديري (المساحة ÷ مساحة الأرض، مقرباً لأعلى)</t>
        </is>
      </c>
      <c r="I78" s="229">
        <f>ROUNDUP(I77/$E$8,0)</f>
        <v/>
      </c>
    </row>
    <row r="80" ht="22.35" customHeight="1" s="240">
      <c r="A80" s="243" t="inlineStr">
        <is>
          <t>السيناريو (2): الدور الأرضي معارض تجارية + بقية الأدوار مكاتب</t>
        </is>
      </c>
    </row>
    <row r="81">
      <c r="A81" s="241" t="inlineStr">
        <is>
          <t>توزيع الأدوار: الدور الأرضي بالكامل معارض/محلات تجارية على الواجهتين (الرئيسية والجانبية)، والأدوار الأربعة العلوية (الأول-الرابع) مكاتب إدارية مؤجرة، مع دخول سيارات مستقل من الشارع الجانبي.</t>
        </is>
      </c>
    </row>
    <row r="82" ht="24" customHeight="1" s="240">
      <c r="D82" s="212" t="inlineStr">
        <is>
          <t>البند</t>
        </is>
      </c>
      <c r="E82" s="223" t="inlineStr">
        <is>
          <t>سكني (شقق للبيع)</t>
        </is>
      </c>
      <c r="F82" s="223" t="inlineStr">
        <is>
          <t>مكتبي</t>
        </is>
      </c>
      <c r="G82" s="223" t="inlineStr">
        <is>
          <t>تجاري</t>
        </is>
      </c>
      <c r="H82" s="223" t="inlineStr">
        <is>
          <t>فندقي</t>
        </is>
      </c>
      <c r="I82" s="213" t="inlineStr">
        <is>
          <t>المجموع</t>
        </is>
      </c>
    </row>
    <row r="83">
      <c r="D83" s="214" t="inlineStr">
        <is>
          <t>المسطح الكلي المخصص للاستخدام (م²)</t>
        </is>
      </c>
      <c r="E83" s="221" t="n">
        <v>0</v>
      </c>
      <c r="F83" s="221">
        <f>E34*2+E35*2</f>
        <v/>
      </c>
      <c r="G83" s="221">
        <f>E33</f>
        <v/>
      </c>
      <c r="H83" s="221" t="n">
        <v>0</v>
      </c>
      <c r="I83" s="225">
        <f>SUM(E83:H83)</f>
        <v/>
      </c>
    </row>
    <row r="84">
      <c r="D84" s="214" t="inlineStr">
        <is>
          <t>نسبة المساحة الصافية (البيعية/التأجيرية)</t>
        </is>
      </c>
      <c r="E84" s="227" t="n">
        <v>0</v>
      </c>
      <c r="F84" s="227" t="n">
        <v>0.85</v>
      </c>
      <c r="G84" s="227" t="n">
        <v>0.9</v>
      </c>
      <c r="H84" s="227" t="n">
        <v>0</v>
      </c>
    </row>
    <row r="85">
      <c r="D85" s="214" t="inlineStr">
        <is>
          <t>المساحة الصافية (البيعية/التأجيرية) م²</t>
        </is>
      </c>
      <c r="E85" s="221">
        <f>E83*E84</f>
        <v/>
      </c>
      <c r="F85" s="221">
        <f>F83*F84</f>
        <v/>
      </c>
      <c r="G85" s="221">
        <f>G83*G84</f>
        <v/>
      </c>
      <c r="H85" s="221">
        <f>H83*H84</f>
        <v/>
      </c>
      <c r="I85" s="225">
        <f>SUM(E85:H85)</f>
        <v/>
      </c>
    </row>
    <row r="86">
      <c r="D86" s="214" t="inlineStr">
        <is>
          <t>متوسط مساحة الوحدة (0 = مساحة تأجيرية مباشرة)</t>
        </is>
      </c>
      <c r="E86" s="217" t="n">
        <v>0</v>
      </c>
      <c r="F86" s="217" t="n">
        <v>150</v>
      </c>
      <c r="G86" s="217" t="n">
        <v>0</v>
      </c>
      <c r="H86" s="217" t="n">
        <v>0</v>
      </c>
    </row>
    <row r="87">
      <c r="D87" s="214" t="inlineStr">
        <is>
          <t>عدد الوحدات / المحلات (أو المساحة التأجيرية م² إن لم يوجد متوسط)</t>
        </is>
      </c>
      <c r="E87" s="221">
        <f>IF(E86&gt;0,IFERROR(E85/E86,0),E85)</f>
        <v/>
      </c>
      <c r="F87" s="221">
        <f>IF(F86&gt;0,IFERROR(F85/F86,0),F85)</f>
        <v/>
      </c>
      <c r="G87" s="221">
        <f>IF(G86&gt;0,IFERROR(G85/G86,0),G85)</f>
        <v/>
      </c>
      <c r="H87" s="221">
        <f>IF(H86&gt;0,IFERROR(H85/H86,0),H85)</f>
        <v/>
      </c>
    </row>
    <row r="88">
      <c r="D88" s="214" t="inlineStr">
        <is>
          <t>معدل متطلبات الموقف حسب كود T5.3</t>
        </is>
      </c>
      <c r="E88" s="219" t="n">
        <v>0</v>
      </c>
      <c r="F88" s="219" t="n">
        <v>43</v>
      </c>
      <c r="G88" s="219" t="n">
        <v>33.33</v>
      </c>
      <c r="H88" s="219" t="n">
        <v>0</v>
      </c>
    </row>
    <row r="89">
      <c r="D89" s="214" t="inlineStr">
        <is>
          <t>وحدة المعدل</t>
        </is>
      </c>
      <c r="E89" s="228" t="n"/>
      <c r="F89" s="228" t="inlineStr">
        <is>
          <t>م² / موقف</t>
        </is>
      </c>
      <c r="G89" s="228" t="inlineStr">
        <is>
          <t>م² / موقف (3 مواقف/100م²)</t>
        </is>
      </c>
      <c r="H89" s="228" t="n"/>
    </row>
    <row r="90">
      <c r="D90" s="214" t="inlineStr">
        <is>
          <t>عدد المواقف المطلوبة</t>
        </is>
      </c>
      <c r="E90" s="221">
        <f>IF(E86&gt;0,E87*E88,IFERROR(E87/E88,0))</f>
        <v/>
      </c>
      <c r="F90" s="221">
        <f>IF(F86&gt;0,F87*F88,IFERROR(F87/F88,0))</f>
        <v/>
      </c>
      <c r="G90" s="221">
        <f>IF(G86&gt;0,G87*G88,IFERROR(G87/G88,0))</f>
        <v/>
      </c>
      <c r="H90" s="221">
        <f>IF(H86&gt;0,H87*H88,IFERROR(H87/H88,0))</f>
        <v/>
      </c>
      <c r="I90" s="225">
        <f>SUM(E90:H90)</f>
        <v/>
      </c>
    </row>
    <row r="91">
      <c r="D91" s="214" t="inlineStr">
        <is>
          <t>عدد المواقف السطحية المتاحة (من القسم رابعاً - مشترك)</t>
        </is>
      </c>
      <c r="I91" s="221">
        <f>$E$57</f>
        <v/>
      </c>
    </row>
    <row r="92">
      <c r="D92" s="214" t="inlineStr">
        <is>
          <t>صافي عدد المواقف المطلوبة بالقبو</t>
        </is>
      </c>
      <c r="I92" s="225">
        <f>MAX(0,I90-I91)</f>
        <v/>
      </c>
    </row>
    <row r="93">
      <c r="D93" s="214" t="inlineStr">
        <is>
          <t>مساحة القبو اللازمة للمواقف (م²)</t>
        </is>
      </c>
      <c r="I93" s="221">
        <f>I92*$E$58</f>
        <v/>
      </c>
    </row>
    <row r="94">
      <c r="D94" s="214" t="inlineStr">
        <is>
          <t>عدد أدوار القبو التقديري (المساحة ÷ مساحة الأرض، مقرباً لأعلى)</t>
        </is>
      </c>
      <c r="I94" s="229">
        <f>ROUNDUP(I93/$E$8,0)</f>
        <v/>
      </c>
    </row>
    <row r="96" ht="22.35" customHeight="1" s="240">
      <c r="A96" s="251" t="inlineStr">
        <is>
          <t>السيناريو (3): الدور الأرضي معارض تجارية + بقية الأدوار وحدات سكنية</t>
        </is>
      </c>
    </row>
    <row r="97">
      <c r="A97" s="241" t="inlineStr">
        <is>
          <t>توزيع الأدوار: الدور الأرضي بالكامل معارض/محلات تجارية على الواجهتين، والأدوار الأربعة العلوية شقق سكنية للبيع أو التأجير، مع دخول سيارات مستقل من الشارع الجانبي ومدخل مشاة مستقل للسكن.</t>
        </is>
      </c>
    </row>
    <row r="98" ht="24" customHeight="1" s="240">
      <c r="D98" s="212" t="inlineStr">
        <is>
          <t>البند</t>
        </is>
      </c>
      <c r="E98" s="223" t="inlineStr">
        <is>
          <t>سكني (شقق للبيع)</t>
        </is>
      </c>
      <c r="F98" s="223" t="inlineStr">
        <is>
          <t>مكتبي</t>
        </is>
      </c>
      <c r="G98" s="223" t="inlineStr">
        <is>
          <t>تجاري</t>
        </is>
      </c>
      <c r="H98" s="223" t="inlineStr">
        <is>
          <t>فندقي</t>
        </is>
      </c>
      <c r="I98" s="213" t="inlineStr">
        <is>
          <t>المجموع</t>
        </is>
      </c>
    </row>
    <row r="99">
      <c r="D99" s="214" t="inlineStr">
        <is>
          <t>المسطح الكلي المخصص للاستخدام (م²)</t>
        </is>
      </c>
      <c r="E99" s="221">
        <f>E34*2+E35*2</f>
        <v/>
      </c>
      <c r="F99" s="221" t="n">
        <v>0</v>
      </c>
      <c r="G99" s="221">
        <f>E33</f>
        <v/>
      </c>
      <c r="H99" s="221" t="n">
        <v>0</v>
      </c>
      <c r="I99" s="225">
        <f>SUM(E99:H99)</f>
        <v/>
      </c>
    </row>
    <row r="100">
      <c r="D100" s="214" t="inlineStr">
        <is>
          <t>نسبة المساحة الصافية (البيعية/التأجيرية)</t>
        </is>
      </c>
      <c r="E100" s="227" t="n">
        <v>0.85</v>
      </c>
      <c r="F100" s="227" t="n">
        <v>0</v>
      </c>
      <c r="G100" s="227" t="n">
        <v>0.9</v>
      </c>
      <c r="H100" s="227" t="n">
        <v>0</v>
      </c>
    </row>
    <row r="101">
      <c r="D101" s="214" t="inlineStr">
        <is>
          <t>المساحة الصافية (البيعية/التأجيرية) م²</t>
        </is>
      </c>
      <c r="E101" s="221">
        <f>E99*E100</f>
        <v/>
      </c>
      <c r="F101" s="221">
        <f>F99*F100</f>
        <v/>
      </c>
      <c r="G101" s="221">
        <f>G99*G100</f>
        <v/>
      </c>
      <c r="H101" s="221">
        <f>H99*H100</f>
        <v/>
      </c>
      <c r="I101" s="225">
        <f>SUM(E101:H101)</f>
        <v/>
      </c>
    </row>
    <row r="102">
      <c r="D102" s="214" t="inlineStr">
        <is>
          <t>متوسط مساحة الوحدة (0 = مساحة تأجيرية مباشرة)</t>
        </is>
      </c>
      <c r="E102" s="217" t="n">
        <v>130</v>
      </c>
      <c r="F102" s="217" t="n">
        <v>0</v>
      </c>
      <c r="G102" s="217" t="n">
        <v>0</v>
      </c>
      <c r="H102" s="217" t="n">
        <v>0</v>
      </c>
    </row>
    <row r="103">
      <c r="D103" s="214" t="inlineStr">
        <is>
          <t>عدد الوحدات / المحلات (أو المساحة التأجيرية م² إن لم يوجد متوسط)</t>
        </is>
      </c>
      <c r="E103" s="221">
        <f>IF(E102&gt;0,IFERROR(E101/E102,0),E101)</f>
        <v/>
      </c>
      <c r="F103" s="221">
        <f>IF(F102&gt;0,IFERROR(F101/F102,0),F101)</f>
        <v/>
      </c>
      <c r="G103" s="221">
        <f>IF(G102&gt;0,IFERROR(G101/G102,0),G101)</f>
        <v/>
      </c>
      <c r="H103" s="221">
        <f>IF(H102&gt;0,IFERROR(H101/H102,0),H101)</f>
        <v/>
      </c>
    </row>
    <row r="104">
      <c r="D104" s="214" t="inlineStr">
        <is>
          <t>معدل متطلبات الموقف حسب كود T5.3</t>
        </is>
      </c>
      <c r="E104" s="219" t="n">
        <v>1</v>
      </c>
      <c r="F104" s="219" t="n">
        <v>0</v>
      </c>
      <c r="G104" s="219" t="n">
        <v>33.33</v>
      </c>
      <c r="H104" s="219" t="n">
        <v>0</v>
      </c>
    </row>
    <row r="105">
      <c r="D105" s="214" t="inlineStr">
        <is>
          <t>وحدة المعدل</t>
        </is>
      </c>
      <c r="E105" s="228" t="inlineStr">
        <is>
          <t>موقف / وحدة سكنية</t>
        </is>
      </c>
      <c r="F105" s="228" t="n"/>
      <c r="G105" s="228" t="inlineStr">
        <is>
          <t>م² / موقف (3 مواقف/100م²)</t>
        </is>
      </c>
      <c r="H105" s="228" t="n"/>
    </row>
    <row r="106">
      <c r="D106" s="214" t="inlineStr">
        <is>
          <t>عدد المواقف المطلوبة</t>
        </is>
      </c>
      <c r="E106" s="221">
        <f>IF(E102&gt;0,E103*E104,IFERROR(E103/E104,0))</f>
        <v/>
      </c>
      <c r="F106" s="221">
        <f>IF(F102&gt;0,F103*F104,IFERROR(F103/F104,0))</f>
        <v/>
      </c>
      <c r="G106" s="221">
        <f>IF(G102&gt;0,G103*G104,IFERROR(G103/G104,0))</f>
        <v/>
      </c>
      <c r="H106" s="221">
        <f>IF(H102&gt;0,H103*H104,IFERROR(H103/H104,0))</f>
        <v/>
      </c>
      <c r="I106" s="225">
        <f>SUM(E106:H106)</f>
        <v/>
      </c>
    </row>
    <row r="107">
      <c r="D107" s="214" t="inlineStr">
        <is>
          <t>عدد المواقف السطحية المتاحة (من القسم رابعاً - مشترك)</t>
        </is>
      </c>
      <c r="I107" s="221">
        <f>$E$57</f>
        <v/>
      </c>
    </row>
    <row r="108">
      <c r="D108" s="214" t="inlineStr">
        <is>
          <t>صافي عدد المواقف المطلوبة بالقبو</t>
        </is>
      </c>
      <c r="I108" s="225">
        <f>MAX(0,I106-I107)</f>
        <v/>
      </c>
    </row>
    <row r="109">
      <c r="D109" s="214" t="inlineStr">
        <is>
          <t>مساحة القبو اللازمة للمواقف (م²)</t>
        </is>
      </c>
      <c r="I109" s="221">
        <f>I108*$E$58</f>
        <v/>
      </c>
    </row>
    <row r="110">
      <c r="D110" s="214" t="inlineStr">
        <is>
          <t>عدد أدوار القبو التقديري (المساحة ÷ مساحة الأرض، مقرباً لأعلى)</t>
        </is>
      </c>
      <c r="I110" s="229">
        <f>ROUNDUP(I109/$E$8,0)</f>
        <v/>
      </c>
    </row>
    <row r="112" ht="22.35" customHeight="1" s="240">
      <c r="A112" s="249" t="inlineStr">
        <is>
          <t>السيناريو (4): فندقي وضيافة</t>
        </is>
      </c>
    </row>
    <row r="113">
      <c r="A113" s="241" t="inlineStr">
        <is>
          <t>توزيع الأدوار: الدور الأرضي لوبي الاستقبال والمطاعم والخدمات المساندة، والأدوار الأربعة العلوية غرف فندقية؛ تُحسب كفاءة المساحة الصافية بمعدل منخفض (40%) لاستيعاب الممرات والبهو وقاعات الاجتماعات وخدمات الضيافة.</t>
        </is>
      </c>
    </row>
    <row r="114" ht="24" customHeight="1" s="240">
      <c r="D114" s="212" t="inlineStr">
        <is>
          <t>البند</t>
        </is>
      </c>
      <c r="E114" s="223" t="inlineStr">
        <is>
          <t>سكني (شقق للبيع)</t>
        </is>
      </c>
      <c r="F114" s="223" t="inlineStr">
        <is>
          <t>مكتبي</t>
        </is>
      </c>
      <c r="G114" s="223" t="inlineStr">
        <is>
          <t>تجاري</t>
        </is>
      </c>
      <c r="H114" s="223" t="inlineStr">
        <is>
          <t>فندقي</t>
        </is>
      </c>
      <c r="I114" s="213" t="inlineStr">
        <is>
          <t>المجموع</t>
        </is>
      </c>
    </row>
    <row r="115">
      <c r="D115" s="214" t="inlineStr">
        <is>
          <t>المسطح الكلي المخصص للاستخدام (م²)</t>
        </is>
      </c>
      <c r="E115" s="221" t="n">
        <v>0</v>
      </c>
      <c r="F115" s="221" t="n">
        <v>0</v>
      </c>
      <c r="G115" s="221" t="n">
        <v>0</v>
      </c>
      <c r="H115" s="221">
        <f>E33+E34*2+E35*2</f>
        <v/>
      </c>
      <c r="I115" s="225">
        <f>SUM(E115:H115)</f>
        <v/>
      </c>
    </row>
    <row r="116">
      <c r="D116" s="214" t="inlineStr">
        <is>
          <t>نسبة المساحة الصافية (البيعية/التأجيرية)</t>
        </is>
      </c>
      <c r="E116" s="227" t="n">
        <v>0</v>
      </c>
      <c r="F116" s="227" t="n">
        <v>0</v>
      </c>
      <c r="G116" s="227" t="n">
        <v>0</v>
      </c>
      <c r="H116" s="227" t="n">
        <v>0.4</v>
      </c>
    </row>
    <row r="117">
      <c r="D117" s="214" t="inlineStr">
        <is>
          <t>المساحة الصافية (البيعية/التأجيرية) م²</t>
        </is>
      </c>
      <c r="E117" s="221">
        <f>E115*E116</f>
        <v/>
      </c>
      <c r="F117" s="221">
        <f>F115*F116</f>
        <v/>
      </c>
      <c r="G117" s="221">
        <f>G115*G116</f>
        <v/>
      </c>
      <c r="H117" s="221">
        <f>H115*H116</f>
        <v/>
      </c>
      <c r="I117" s="225">
        <f>SUM(E117:H117)</f>
        <v/>
      </c>
    </row>
    <row r="118">
      <c r="D118" s="214" t="inlineStr">
        <is>
          <t>متوسط مساحة الوحدة (0 = مساحة تأجيرية مباشرة)</t>
        </is>
      </c>
      <c r="E118" s="217" t="n">
        <v>0</v>
      </c>
      <c r="F118" s="217" t="n">
        <v>0</v>
      </c>
      <c r="G118" s="217" t="n">
        <v>0</v>
      </c>
      <c r="H118" s="217" t="n">
        <v>32</v>
      </c>
    </row>
    <row r="119">
      <c r="D119" s="214" t="inlineStr">
        <is>
          <t>عدد الوحدات / المحلات (أو المساحة التأجيرية م² إن لم يوجد متوسط)</t>
        </is>
      </c>
      <c r="E119" s="221">
        <f>IF(E118&gt;0,IFERROR(E117/E118,0),E117)</f>
        <v/>
      </c>
      <c r="F119" s="221">
        <f>IF(F118&gt;0,IFERROR(F117/F118,0),F117)</f>
        <v/>
      </c>
      <c r="G119" s="221">
        <f>IF(G118&gt;0,IFERROR(G117/G118,0),G117)</f>
        <v/>
      </c>
      <c r="H119" s="221">
        <f>IF(H118&gt;0,IFERROR(H117/H118,0),H117)</f>
        <v/>
      </c>
    </row>
    <row r="120">
      <c r="D120" s="214" t="inlineStr">
        <is>
          <t>معدل متطلبات الموقف حسب كود T5.3</t>
        </is>
      </c>
      <c r="E120" s="219" t="n">
        <v>0</v>
      </c>
      <c r="F120" s="219" t="n">
        <v>0</v>
      </c>
      <c r="G120" s="219" t="n">
        <v>0</v>
      </c>
      <c r="H120" s="219" t="n">
        <v>1</v>
      </c>
    </row>
    <row r="121">
      <c r="D121" s="214" t="inlineStr">
        <is>
          <t>وحدة المعدل</t>
        </is>
      </c>
      <c r="E121" s="228" t="n"/>
      <c r="F121" s="228" t="n"/>
      <c r="G121" s="228" t="n"/>
      <c r="H121" s="228" t="inlineStr">
        <is>
          <t>موقف / غرفة فندقية</t>
        </is>
      </c>
    </row>
    <row r="122">
      <c r="D122" s="214" t="inlineStr">
        <is>
          <t>عدد المواقف المطلوبة</t>
        </is>
      </c>
      <c r="E122" s="221">
        <f>IF(E118&gt;0,E119*E120,IFERROR(E119/E120,0))</f>
        <v/>
      </c>
      <c r="F122" s="221">
        <f>IF(F118&gt;0,F119*F120,IFERROR(F119/F120,0))</f>
        <v/>
      </c>
      <c r="G122" s="221">
        <f>IF(G118&gt;0,G119*G120,IFERROR(G119/G120,0))</f>
        <v/>
      </c>
      <c r="H122" s="221">
        <f>IF(H118&gt;0,H119*H120,IFERROR(H119/H120,0))</f>
        <v/>
      </c>
      <c r="I122" s="225">
        <f>SUM(E122:H122)</f>
        <v/>
      </c>
    </row>
    <row r="123">
      <c r="D123" s="214" t="inlineStr">
        <is>
          <t>عدد المواقف السطحية المتاحة (من القسم رابعاً - مشترك)</t>
        </is>
      </c>
      <c r="I123" s="221">
        <f>$E$57</f>
        <v/>
      </c>
    </row>
    <row r="124">
      <c r="D124" s="214" t="inlineStr">
        <is>
          <t>صافي عدد المواقف المطلوبة بالقبو</t>
        </is>
      </c>
      <c r="I124" s="225">
        <f>MAX(0,I122-I123)</f>
        <v/>
      </c>
    </row>
    <row r="125">
      <c r="D125" s="214" t="inlineStr">
        <is>
          <t>مساحة القبو اللازمة للمواقف (م²)</t>
        </is>
      </c>
      <c r="I125" s="221">
        <f>I124*$E$58</f>
        <v/>
      </c>
    </row>
    <row r="126">
      <c r="D126" s="214" t="inlineStr">
        <is>
          <t>عدد أدوار القبو التقديري (المساحة ÷ مساحة الأرض، مقرباً لأعلى)</t>
        </is>
      </c>
      <c r="I126" s="229">
        <f>ROUNDUP(I125/$E$8,0)</f>
        <v/>
      </c>
    </row>
    <row r="128">
      <c r="A128" s="242" t="inlineStr">
        <is>
          <t>الوحدات ومعدلات الكفاءة والمواقف أعلاه قيم افتراضية قابلة للتعديل (باللون الأزرق) حسب دراسة السوق النهائية ومخرجات التصميم المعماري. أرقام المواقف والمعدلات مطابقة لكود T5.3 (اشتراطات المسار الرياضي) كما وردت في الدليل التطبيقي المرفق.</t>
        </is>
      </c>
    </row>
    <row r="130" ht="22.35" customHeight="1" s="240">
      <c r="A130" s="244" t="inlineStr">
        <is>
          <t>سادساً | جدول مقارنة سريع بين السيناريوهات الأربعة</t>
        </is>
      </c>
    </row>
    <row r="132" ht="30" customHeight="1" s="240">
      <c r="D132" s="223" t="inlineStr">
        <is>
          <t>السيناريو</t>
        </is>
      </c>
      <c r="E132" s="223" t="inlineStr">
        <is>
          <t>إجمالي المسطح البنائي فوق الأرض (م²)</t>
        </is>
      </c>
      <c r="F132" s="223" t="inlineStr">
        <is>
          <t>المساحة الصافية البيعية/التأجيرية (م²)</t>
        </is>
      </c>
      <c r="G132" s="223" t="inlineStr">
        <is>
          <t>عدد الوحدات/المحلات</t>
        </is>
      </c>
      <c r="H132" s="223" t="inlineStr">
        <is>
          <t>إجمالي المواقف المطلوبة</t>
        </is>
      </c>
      <c r="I132" s="223" t="inlineStr">
        <is>
          <t>عدد أدوار القبو التقديري</t>
        </is>
      </c>
    </row>
    <row r="133">
      <c r="D133" s="224" t="inlineStr">
        <is>
          <t>(1) برج سكني بالكامل</t>
        </is>
      </c>
      <c r="E133" s="221">
        <f>$I$67</f>
        <v/>
      </c>
      <c r="F133" s="221">
        <f>$I$69</f>
        <v/>
      </c>
      <c r="G133" s="221">
        <f>E71</f>
        <v/>
      </c>
      <c r="H133" s="221">
        <f>$I$74</f>
        <v/>
      </c>
      <c r="I133" s="230">
        <f>$I$78</f>
        <v/>
      </c>
    </row>
    <row r="134">
      <c r="D134" s="224" t="inlineStr">
        <is>
          <t>(2) تجاري أرضي + مكتبي علوي</t>
        </is>
      </c>
      <c r="E134" s="221">
        <f>$I$83</f>
        <v/>
      </c>
      <c r="F134" s="221">
        <f>$I$85</f>
        <v/>
      </c>
      <c r="G134" s="228" t="inlineStr">
        <is>
          <t>غير محسوب بالوحدة (مساحات تأجيرية)</t>
        </is>
      </c>
      <c r="H134" s="221">
        <f>$I$90</f>
        <v/>
      </c>
      <c r="I134" s="230">
        <f>$I$94</f>
        <v/>
      </c>
    </row>
    <row r="135">
      <c r="D135" s="224" t="inlineStr">
        <is>
          <t>(3) تجاري أرضي + سكني علوي</t>
        </is>
      </c>
      <c r="E135" s="221">
        <f>$I$99</f>
        <v/>
      </c>
      <c r="F135" s="221">
        <f>$I$101</f>
        <v/>
      </c>
      <c r="G135" s="221">
        <f>E103</f>
        <v/>
      </c>
      <c r="H135" s="221">
        <f>$I$106</f>
        <v/>
      </c>
      <c r="I135" s="230">
        <f>$I$110</f>
        <v/>
      </c>
    </row>
    <row r="136">
      <c r="D136" s="224" t="inlineStr">
        <is>
          <t>(4) فندقي وضيافة</t>
        </is>
      </c>
      <c r="E136" s="221">
        <f>$I$115</f>
        <v/>
      </c>
      <c r="F136" s="221">
        <f>$I$117</f>
        <v/>
      </c>
      <c r="G136" s="221">
        <f>H119</f>
        <v/>
      </c>
      <c r="H136" s="221">
        <f>$I$122</f>
        <v/>
      </c>
      <c r="I136" s="230">
        <f>$I$126</f>
        <v/>
      </c>
    </row>
  </sheetData>
  <mergeCells count="22">
    <mergeCell ref="A97:J97"/>
    <mergeCell ref="A62:J62"/>
    <mergeCell ref="A4:J4"/>
    <mergeCell ref="A81:J81"/>
    <mergeCell ref="A96:J96"/>
    <mergeCell ref="A28:J28"/>
    <mergeCell ref="A112:J112"/>
    <mergeCell ref="A19:J19"/>
    <mergeCell ref="A130:J130"/>
    <mergeCell ref="A30:J30"/>
    <mergeCell ref="A48:J48"/>
    <mergeCell ref="A64:J64"/>
    <mergeCell ref="A60:J60"/>
    <mergeCell ref="A1:J1"/>
    <mergeCell ref="A65:J65"/>
    <mergeCell ref="A128:J128"/>
    <mergeCell ref="A80:J80"/>
    <mergeCell ref="A21:J21"/>
    <mergeCell ref="A50:J50"/>
    <mergeCell ref="A113:J113"/>
    <mergeCell ref="A2:J2"/>
    <mergeCell ref="E38:G38"/>
  </mergeCells>
  <pageMargins left="0.75" right="0.75" top="1" bottom="1" header="0.5" footer="0.5"/>
  <pageSetup orientation="portrait" paperSize="9"/>
</worksheet>
</file>

<file path=xl/worksheets/sheet3.xml><?xml version="1.0" encoding="utf-8"?>
<worksheet xmlns="http://schemas.openxmlformats.org/spreadsheetml/2006/main">
  <sheetPr codeName="Sheet12">
    <outlinePr summaryBelow="1" summaryRight="1"/>
    <pageSetUpPr/>
  </sheetPr>
  <dimension ref="A1:AZ568"/>
  <sheetViews>
    <sheetView showGridLines="0" rightToLeft="1" tabSelected="1" topLeftCell="A152" zoomScale="85" zoomScaleNormal="85" workbookViewId="0">
      <selection activeCell="I125" sqref="I125:R125"/>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الندي</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140" t="n">
        <v>2681</v>
      </c>
    </row>
    <row r="8">
      <c r="C8" s="13" t="n"/>
      <c r="D8" s="13" t="inlineStr">
        <is>
          <t>معامل البناء</t>
        </is>
      </c>
      <c r="E8" s="209" t="n">
        <v>3.58</v>
      </c>
    </row>
    <row r="9">
      <c r="C9" s="25" t="n"/>
      <c r="D9" s="25" t="inlineStr">
        <is>
          <t xml:space="preserve">المسطحات البنائية </t>
        </is>
      </c>
      <c r="E9" s="65">
        <f>E7*E8</f>
        <v/>
      </c>
    </row>
    <row r="11" ht="30" customHeight="1" s="240">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0</v>
      </c>
      <c r="F12" s="159" t="n">
        <v>0</v>
      </c>
      <c r="G12" s="159" t="n">
        <v>1</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102" t="n">
        <v>0</v>
      </c>
      <c r="F14" s="102" t="n">
        <v>0.75</v>
      </c>
      <c r="G14" s="102" t="n">
        <v>0.75</v>
      </c>
      <c r="H14" s="102" t="n">
        <v>0.3</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67" t="n">
        <v>0</v>
      </c>
      <c r="F22" s="67" t="n">
        <v>150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104" t="n">
        <v>1</v>
      </c>
      <c r="F24" s="104" t="n">
        <v>3.49</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102" t="n">
        <v>0</v>
      </c>
      <c r="F27" s="10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 t="n">
        <v>25</v>
      </c>
      <c r="F29" s="2" t="n">
        <v>33</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 t="n">
        <v>42</v>
      </c>
      <c r="F32" s="2" t="n">
        <v>33</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152" t="n">
        <v>17000</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0">
      <c r="D46" s="13" t="inlineStr">
        <is>
          <t>السكني شقق</t>
        </is>
      </c>
      <c r="E46" s="8">
        <f>E17</f>
        <v/>
      </c>
      <c r="F46" s="16" t="n">
        <v>0</v>
      </c>
      <c r="G46" s="8">
        <f>E46*F46</f>
        <v/>
      </c>
      <c r="H46" s="178">
        <f>G46/$G$61</f>
        <v/>
      </c>
      <c r="J46" s="16" t="n">
        <v>3000</v>
      </c>
      <c r="K46" s="8">
        <f>G46-(E46*J46)</f>
        <v/>
      </c>
      <c r="M46" s="21" t="n"/>
    </row>
    <row r="47" hidden="1" s="240">
      <c r="D47" s="13" t="inlineStr">
        <is>
          <t>المكتبي</t>
        </is>
      </c>
      <c r="E47" s="8">
        <f>F17</f>
        <v/>
      </c>
      <c r="F47" s="16" t="n">
        <v>2600</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0">
      <c r="D49" s="13" t="inlineStr">
        <is>
          <t>الفندقي</t>
        </is>
      </c>
      <c r="E49" s="8">
        <f>H17</f>
        <v/>
      </c>
      <c r="F49" s="16" t="n">
        <v>0</v>
      </c>
      <c r="G49" s="8">
        <f>F49*E49</f>
        <v/>
      </c>
      <c r="H49" s="178">
        <f>G49/$G$61</f>
        <v/>
      </c>
      <c r="J49" s="16" t="n">
        <v>0</v>
      </c>
      <c r="K49" s="8">
        <f>G49-(E49*J49)</f>
        <v/>
      </c>
      <c r="M49" s="21" t="n"/>
    </row>
    <row r="50" hidden="1" s="240">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F21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 t="n">
        <v>15000</v>
      </c>
      <c r="H87" s="2" t="n">
        <v>15000</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F23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E87*F22</f>
        <v/>
      </c>
      <c r="F89" s="49" t="n"/>
      <c r="G89" s="34">
        <f>G87*$F22</f>
        <v/>
      </c>
      <c r="H89" s="34">
        <f>H87*$F22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0">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126" t="n">
        <v>0</v>
      </c>
      <c r="F112" s="16" t="n">
        <v>0</v>
      </c>
      <c r="G112" s="16" t="n">
        <v>0</v>
      </c>
      <c r="H112" s="16" t="n">
        <v>0</v>
      </c>
      <c r="I112" s="34" t="n">
        <v>0</v>
      </c>
      <c r="J112" s="34">
        <f>E112</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0" t="n">
        <v>0</v>
      </c>
      <c r="J113" s="66" t="n">
        <v>0.85</v>
      </c>
      <c r="K113" s="66"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122" t="n">
        <v>0</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2000</v>
      </c>
      <c r="F120" s="16" t="n">
        <v>0</v>
      </c>
      <c r="G120" s="16" t="n">
        <v>0</v>
      </c>
      <c r="H120" s="16" t="n">
        <v>0</v>
      </c>
      <c r="I120" s="34" t="n">
        <v>2000</v>
      </c>
      <c r="J120" s="34" t="n">
        <v>2000</v>
      </c>
      <c r="K120" s="34" t="n">
        <v>2000</v>
      </c>
      <c r="L120" s="34" t="n">
        <v>2000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126"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t="n">
        <v>0</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G139</f>
        <v/>
      </c>
      <c r="H144" s="97">
        <f>H139</f>
        <v/>
      </c>
      <c r="I144" s="97">
        <f>I139</f>
        <v/>
      </c>
      <c r="J144" s="97">
        <f>J139</f>
        <v/>
      </c>
      <c r="K144" s="97">
        <f>K139</f>
        <v/>
      </c>
      <c r="L144" s="97">
        <f>L139</f>
        <v/>
      </c>
      <c r="M144" s="97">
        <f>M139</f>
        <v/>
      </c>
      <c r="N144" s="97">
        <f>N139</f>
        <v/>
      </c>
      <c r="O144" s="97">
        <f>O139</f>
        <v/>
      </c>
      <c r="P144" s="97">
        <f>P139</f>
        <v/>
      </c>
      <c r="Q144" s="97">
        <f>Q139</f>
        <v/>
      </c>
      <c r="R144" s="97">
        <f>R139</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4">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2" t="n"/>
      <c r="G167" s="22" t="n"/>
      <c r="H167" s="22" t="n"/>
      <c r="I167" s="22" t="n"/>
      <c r="J167" s="22" t="n"/>
      <c r="K167" s="22" t="n"/>
      <c r="L167" s="22" t="n"/>
      <c r="M167" s="22" t="n"/>
      <c r="N167" s="22" t="n"/>
      <c r="O167" s="22" t="n"/>
      <c r="P167" s="22" t="n"/>
      <c r="Q167" s="22" t="n"/>
      <c r="R167" s="22" t="n"/>
    </row>
    <row r="168" customFormat="1" s="13">
      <c r="A168" s="12" t="n"/>
      <c r="B168" s="12" t="n"/>
      <c r="C168" s="29" t="n"/>
      <c r="D168" s="29" t="inlineStr">
        <is>
          <t>حجم الاستثمار</t>
        </is>
      </c>
      <c r="E168" s="92">
        <f>G61</f>
        <v/>
      </c>
      <c r="F168" s="22" t="n"/>
      <c r="G168" s="22" t="n"/>
      <c r="H168" s="22" t="n"/>
      <c r="I168" s="22" t="n"/>
      <c r="J168" s="22" t="n"/>
      <c r="K168" s="22" t="n"/>
      <c r="L168" s="22" t="n"/>
      <c r="M168" s="22" t="n"/>
      <c r="N168" s="22" t="n"/>
      <c r="O168" s="22" t="n"/>
      <c r="P168" s="22" t="n"/>
      <c r="Q168" s="22" t="n"/>
      <c r="R168" s="22" t="n"/>
    </row>
    <row r="169" customFormat="1" s="13">
      <c r="A169" s="12" t="n"/>
      <c r="B169" s="12" t="n"/>
      <c r="D169" s="13" t="inlineStr">
        <is>
          <t>هامش الربح الكلي</t>
        </is>
      </c>
      <c r="E169" s="93">
        <f>E166/E168</f>
        <v/>
      </c>
      <c r="F169" s="22" t="n"/>
      <c r="G169" s="22" t="n"/>
      <c r="H169" s="22" t="n"/>
      <c r="I169" s="22" t="n"/>
      <c r="J169" s="22" t="n"/>
      <c r="K169" s="22" t="n"/>
      <c r="L169" s="22" t="n"/>
      <c r="M169" s="22" t="n"/>
      <c r="N169" s="22" t="n"/>
      <c r="O169" s="22" t="n"/>
      <c r="P169" s="22" t="n"/>
      <c r="Q169" s="22" t="n"/>
      <c r="R169" s="22" t="n"/>
    </row>
    <row r="170" customFormat="1" s="13">
      <c r="A170" s="12" t="n"/>
      <c r="B170" s="12" t="n"/>
      <c r="C170" s="63" t="n"/>
      <c r="D170" s="63" t="inlineStr">
        <is>
          <t>هامش الربح السنوي للمشروع - ROI - قبل حافز الأداء</t>
        </is>
      </c>
      <c r="E170" s="233">
        <f>E169/E167</f>
        <v/>
      </c>
      <c r="F170" s="22" t="n"/>
      <c r="G170" s="22" t="n"/>
      <c r="H170" s="22" t="n"/>
      <c r="I170" s="22" t="n"/>
      <c r="J170" s="22" t="n"/>
      <c r="K170" s="22" t="n"/>
      <c r="L170" s="22" t="n"/>
      <c r="M170" s="22" t="n"/>
      <c r="N170" s="22" t="n"/>
      <c r="O170" s="22" t="n"/>
      <c r="P170" s="22" t="n"/>
      <c r="Q170" s="22" t="n"/>
      <c r="R170" s="22" t="n"/>
    </row>
    <row r="171" customFormat="1" s="13">
      <c r="A171" s="12" t="n"/>
      <c r="B171" s="12" t="n"/>
      <c r="C171" s="63" t="n"/>
      <c r="D171" s="63" t="inlineStr">
        <is>
          <t>معدل العائد الداخلي للمشروع - IRR - قبل حافز الأداء</t>
        </is>
      </c>
      <c r="E171" s="233">
        <f>IRR(F166:N166)</f>
        <v/>
      </c>
      <c r="F171" s="27" t="n"/>
      <c r="G171" s="27" t="n"/>
      <c r="H171" s="27" t="n"/>
      <c r="I171" s="27" t="n"/>
      <c r="J171" s="27" t="n"/>
      <c r="K171" s="27" t="n"/>
      <c r="L171" s="27" t="n"/>
      <c r="M171" s="27" t="n"/>
      <c r="N171" s="27" t="n"/>
      <c r="O171" s="27" t="n"/>
      <c r="P171" s="27" t="n"/>
      <c r="Q171" s="27" t="n"/>
      <c r="R171" s="27"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0">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0">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0">
      <c r="C184" s="12" t="inlineStr">
        <is>
          <t>حجم الاستثمار</t>
        </is>
      </c>
    </row>
    <row r="185" hidden="1" s="240">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0">
      <c r="D192" s="68" t="inlineStr">
        <is>
          <t>حجم الاستثمار</t>
        </is>
      </c>
      <c r="E192" s="142">
        <f>SUM(E188:E190,-E191)</f>
        <v/>
      </c>
      <c r="F192" s="143" t="n"/>
    </row>
    <row r="193" hidden="1" s="240"/>
    <row r="194" hidden="1" s="240"/>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0"/>
    <row r="197" hidden="1" s="240"/>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0">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0">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0">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0">
      <c r="D202" s="13" t="inlineStr">
        <is>
          <t>نسبة حافز الأداء المستحق</t>
        </is>
      </c>
      <c r="E202" s="198" t="n">
        <v>0.3</v>
      </c>
    </row>
    <row r="203" hidden="1" s="240">
      <c r="C203" s="18" t="n"/>
      <c r="D203" s="18" t="inlineStr">
        <is>
          <t>قيمة حافز الأداء</t>
        </is>
      </c>
      <c r="E203" s="197">
        <f>E201*E202</f>
        <v/>
      </c>
    </row>
    <row r="204" hidden="1" s="240">
      <c r="C204" s="195" t="n"/>
      <c r="D204" s="195" t="inlineStr">
        <is>
          <t>صافي الربح المحقق للمشروع بعد خصم حافز الأداء</t>
        </is>
      </c>
      <c r="E204" s="196">
        <f>E199-E203</f>
        <v/>
      </c>
    </row>
    <row r="205" hidden="1" s="240"/>
    <row r="206" hidden="1" s="240"/>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0">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0"/>
    <row r="215" hidden="1" s="240"/>
    <row r="216" hidden="1" s="240">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0">
      <c r="E217" s="16" t="n"/>
    </row>
    <row r="218" hidden="1" s="240">
      <c r="D218" s="73" t="inlineStr">
        <is>
          <t>البند</t>
        </is>
      </c>
      <c r="E218" s="74" t="inlineStr">
        <is>
          <t>التكلفة</t>
        </is>
      </c>
      <c r="F218" s="74" t="inlineStr">
        <is>
          <t>%</t>
        </is>
      </c>
      <c r="H218" s="73" t="inlineStr">
        <is>
          <t>المساهمين و ربحية الصندوق</t>
        </is>
      </c>
      <c r="I218" s="73" t="n"/>
      <c r="J218" s="74" t="n"/>
      <c r="K218" s="74" t="n"/>
    </row>
    <row r="219" hidden="1" s="240">
      <c r="D219" s="75" t="inlineStr">
        <is>
          <t>حجم الاستثمار</t>
        </is>
      </c>
      <c r="E219" s="76" t="n"/>
      <c r="F219" s="76" t="n"/>
      <c r="H219" s="75" t="inlineStr">
        <is>
          <t>البند</t>
        </is>
      </c>
      <c r="I219" s="75" t="n"/>
      <c r="J219" s="77" t="inlineStr">
        <is>
          <t>المبلغ</t>
        </is>
      </c>
      <c r="K219" s="77" t="inlineStr">
        <is>
          <t>%</t>
        </is>
      </c>
      <c r="M219" s="8">
        <f>G58</f>
        <v/>
      </c>
    </row>
    <row r="220" hidden="1" s="240">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0">
      <c r="D221" s="78" t="inlineStr">
        <is>
          <t>تكاليف الارض</t>
        </is>
      </c>
      <c r="E221" s="79">
        <f>E149</f>
        <v/>
      </c>
      <c r="F221" s="80">
        <f>E221/$E$227</f>
        <v/>
      </c>
      <c r="H221" s="13" t="inlineStr">
        <is>
          <t>مساهمين</t>
        </is>
      </c>
      <c r="J221" s="8">
        <f>$J$222*K221</f>
        <v/>
      </c>
      <c r="K221" s="21">
        <f>1-K220</f>
        <v/>
      </c>
    </row>
    <row r="222" hidden="1" s="240">
      <c r="D222" s="82" t="inlineStr">
        <is>
          <t>تكلفة المشروع</t>
        </is>
      </c>
      <c r="E222" s="83">
        <f>SUM(E220:E221)</f>
        <v/>
      </c>
      <c r="F222" s="84">
        <f>E222/$E$227</f>
        <v/>
      </c>
      <c r="H222" s="18" t="inlineStr">
        <is>
          <t>المساهمين</t>
        </is>
      </c>
      <c r="I222" s="19" t="n"/>
      <c r="J222" s="19">
        <f>E231</f>
        <v/>
      </c>
      <c r="K222" s="31">
        <f>J222/J222</f>
        <v/>
      </c>
    </row>
    <row r="223" hidden="1" s="240">
      <c r="D223" s="78" t="inlineStr">
        <is>
          <t>رسوم ترتيب التمويل</t>
        </is>
      </c>
      <c r="E223" s="79">
        <f>-SUM(F157:R157)</f>
        <v/>
      </c>
      <c r="F223" s="80">
        <f>E223/$E$227</f>
        <v/>
      </c>
      <c r="H223" s="75" t="inlineStr">
        <is>
          <t>مؤشرات الربحية</t>
        </is>
      </c>
      <c r="I223" s="75" t="n"/>
      <c r="J223" s="76" t="n"/>
      <c r="K223" s="85" t="n"/>
    </row>
    <row r="224" hidden="1" s="240">
      <c r="D224" s="86" t="inlineStr">
        <is>
          <t>تكاليف المرابحة فترة التطوير</t>
        </is>
      </c>
      <c r="E224" s="79">
        <f>-SUM(F159:I159)</f>
        <v/>
      </c>
      <c r="F224" s="80">
        <f>E224/$E$227</f>
        <v/>
      </c>
      <c r="H224" s="13" t="inlineStr">
        <is>
          <t>هامش الربح السنوي - ROI</t>
        </is>
      </c>
      <c r="I224" s="13" t="n"/>
      <c r="J224" s="17">
        <f>E212</f>
        <v/>
      </c>
    </row>
    <row r="225" hidden="1" s="240">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0">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0">
      <c r="D227" s="90" t="inlineStr">
        <is>
          <t xml:space="preserve">حجم الاستثمار </t>
        </is>
      </c>
      <c r="E227" s="91">
        <f>SUM(E222:E226)</f>
        <v/>
      </c>
      <c r="F227" s="5">
        <f>E227/$E$227</f>
        <v/>
      </c>
    </row>
    <row r="228" hidden="1" s="240">
      <c r="D228" s="75" t="inlineStr">
        <is>
          <t>الهيكل المالي</t>
        </is>
      </c>
      <c r="E228" s="76" t="n"/>
      <c r="F228" s="85" t="n"/>
    </row>
    <row r="229" hidden="1" s="240">
      <c r="D229" s="13" t="inlineStr">
        <is>
          <t xml:space="preserve">تحصيل البيع على الخارطة  </t>
        </is>
      </c>
      <c r="E229" s="8">
        <f>E227-SUM(E230:E231)</f>
        <v/>
      </c>
      <c r="F229" s="80">
        <f>E229/$E$227</f>
        <v/>
      </c>
    </row>
    <row r="230" hidden="1" s="240">
      <c r="D230" s="78" t="inlineStr">
        <is>
          <t>التمويل البنكي المقدر</t>
        </is>
      </c>
      <c r="E230" s="79">
        <f>E69</f>
        <v/>
      </c>
      <c r="F230" s="80">
        <f>E230/$E$227</f>
        <v/>
      </c>
    </row>
    <row r="231" hidden="1" s="240">
      <c r="D231" s="78" t="inlineStr">
        <is>
          <t>المساهمين</t>
        </is>
      </c>
      <c r="E231" s="79">
        <f>E192</f>
        <v/>
      </c>
      <c r="F231" s="80">
        <f>E231/$E$227</f>
        <v/>
      </c>
    </row>
    <row r="232" hidden="1" s="240">
      <c r="D232" s="144" t="inlineStr">
        <is>
          <t>هيكل الصندوق</t>
        </is>
      </c>
      <c r="E232" s="145">
        <f>SUM(E229:E231)</f>
        <v/>
      </c>
      <c r="F232" s="146" t="n"/>
    </row>
    <row r="233" hidden="1" s="240">
      <c r="D233" s="75" t="inlineStr">
        <is>
          <t>التحقق من الحسابات</t>
        </is>
      </c>
      <c r="E233" s="76" t="n"/>
      <c r="F233" s="85" t="n"/>
      <c r="L233" s="12" t="n"/>
    </row>
    <row r="234" hidden="1" s="240">
      <c r="D234" s="78" t="inlineStr">
        <is>
          <t>المساهمين وفقا للحسابات</t>
        </is>
      </c>
      <c r="E234" s="79">
        <f>E231</f>
        <v/>
      </c>
      <c r="F234" s="79" t="n"/>
      <c r="L234" s="12" t="n"/>
    </row>
    <row r="235" hidden="1" s="240">
      <c r="D235" s="78" t="inlineStr">
        <is>
          <t>المساهمين وفقا للتدفقات</t>
        </is>
      </c>
      <c r="E235" s="79">
        <f>E192</f>
        <v/>
      </c>
      <c r="F235" s="79" t="n"/>
      <c r="L235" s="12" t="n"/>
    </row>
    <row r="236" hidden="1" s="240">
      <c r="D236" s="78" t="inlineStr">
        <is>
          <t>الفروق</t>
        </is>
      </c>
      <c r="E236" s="79">
        <f>ROUND(E234,-3)-ROUND(E235,-3)</f>
        <v/>
      </c>
      <c r="F236" s="79" t="n"/>
      <c r="L236" s="12" t="n"/>
    </row>
    <row r="237" hidden="1" s="240">
      <c r="D237" s="82" t="inlineStr">
        <is>
          <t>التحقق</t>
        </is>
      </c>
      <c r="E237" s="83">
        <f>IF(E236=0,1,0)</f>
        <v/>
      </c>
      <c r="F237" s="83" t="n"/>
      <c r="L237" s="12" t="n"/>
    </row>
    <row r="238" hidden="1" s="240">
      <c r="L238" s="12" t="n"/>
    </row>
    <row r="239" hidden="1" s="240">
      <c r="L239" s="12" t="n"/>
    </row>
    <row r="240" hidden="1" s="240">
      <c r="L240" s="12" t="n"/>
    </row>
    <row r="241" hidden="1" s="240">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0"/>
    <row r="248" hidden="1" s="240"/>
    <row r="249" hidden="1" s="240"/>
    <row r="250" hidden="1" s="240"/>
    <row r="251" hidden="1" s="240"/>
    <row r="252" hidden="1" s="240"/>
    <row r="253" hidden="1" s="240"/>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t="n"/>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0">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6" t="n"/>
      <c r="D280" s="236" t="inlineStr">
        <is>
          <t>صافي التدفق النقدي -  للمطور</t>
        </is>
      </c>
      <c r="E280" s="237">
        <f>SUM(F280:P280)</f>
        <v/>
      </c>
      <c r="F280" s="238">
        <f>SUM(F277:F279)</f>
        <v/>
      </c>
      <c r="G280" s="238">
        <f>SUM(G277:G279)</f>
        <v/>
      </c>
      <c r="H280" s="238">
        <f>SUM(H277:H279)</f>
        <v/>
      </c>
      <c r="I280" s="238">
        <f>SUM(I277:I279)</f>
        <v/>
      </c>
      <c r="J280" s="238">
        <f>SUM(J277:J279)</f>
        <v/>
      </c>
      <c r="K280" s="238">
        <f>SUM(K277:K279)</f>
        <v/>
      </c>
      <c r="L280" s="238">
        <f>SUM(L277:L279)</f>
        <v/>
      </c>
      <c r="M280" s="238">
        <f>SUM(M277:M279)</f>
        <v/>
      </c>
      <c r="N280" s="238">
        <f>SUM(N277:N279)</f>
        <v/>
      </c>
      <c r="O280" s="238">
        <f>SUM(O277:O279)</f>
        <v/>
      </c>
      <c r="P280" s="238">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conditionalFormatting sqref="E148">
    <cfRule type="cellIs" priority="5" operator="notEqual" dxfId="1">
      <formula>1</formula>
    </cfRule>
  </conditionalFormatting>
  <conditionalFormatting sqref="E172:E173">
    <cfRule type="cellIs" priority="6" operator="notEqual" dxfId="1">
      <formula>1</formula>
    </cfRule>
  </conditionalFormatting>
  <conditionalFormatting sqref="E166:R166">
    <cfRule type="cellIs" priority="7" operator="lessThan" dxfId="0">
      <formula>0</formula>
    </cfRule>
  </conditionalFormatting>
  <conditionalFormatting sqref="E150">
    <cfRule type="cellIs" priority="4" operator="notEqual" dxfId="1">
      <formula>1</formula>
    </cfRule>
  </conditionalFormatting>
  <conditionalFormatting sqref="E85">
    <cfRule type="cellIs" priority="3" operator="notEqual" dxfId="0">
      <formula>1</formula>
    </cfRule>
  </conditionalFormatting>
  <conditionalFormatting sqref="E152">
    <cfRule type="cellIs" priority="2" operator="notEqual" dxfId="1">
      <formula>1</formula>
    </cfRule>
  </conditionalFormatting>
  <conditionalFormatting sqref="E280:P280">
    <cfRule type="cellIs" priority="1" operator="lessThan" dxfId="0">
      <formula>0</formula>
    </cfRule>
  </conditionalFormatting>
  <dataValidations count="2">
    <dataValidation sqref="E162" showDropDown="0" showInputMessage="1" showErrorMessage="1" allowBlank="1" type="list">
      <formula1>"1,0"</formula1>
    </dataValidation>
    <dataValidation sqref="E141" showDropDown="0" showInputMessage="1" showErrorMessage="1" allowBlank="1" type="list">
      <formula1>$H$110:$P$110</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Hossam-Eldin Badry</dc:creator>
  <dcterms:created xmlns:dcterms="http://purl.org/dc/terms/" xmlns:xsi="http://www.w3.org/2001/XMLSchema-instance" xsi:type="dcterms:W3CDTF">2015-06-05T18:17:20Z</dcterms:created>
  <dcterms:modified xmlns:dcterms="http://purl.org/dc/terms/" xmlns:xsi="http://www.w3.org/2001/XMLSchema-instance" xsi:type="dcterms:W3CDTF">2026-10-07T11:04:44Z</dcterms:modified>
  <cp:lastModifiedBy>Wagdy Mahmoud Elsayed</cp:lastModifiedBy>
  <cp:lastPrinted>2025-09-11T09:30:15Z</cp:lastPrinted>
</cp:coreProperties>
</file>