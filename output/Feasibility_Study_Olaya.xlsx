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التنفيذي" sheetId="1" state="visible" r:id="rId1"/>
    <sheet name="الدراسة التسويقية" sheetId="2" state="visible" r:id="rId2"/>
    <sheet name="الدراسة الفنية" sheetId="3" state="visible" r:id="rId3"/>
    <sheet name="الدراسة المالية" sheetId="4" state="visible" r:id="rId4"/>
    <sheet name="النتائج والتوصيات" sheetId="5" state="visible" r:id="rId5"/>
    <sheet name="المدخلات" sheetId="6" state="visible" r:id="rId6"/>
    <sheet name="الحسابات" sheetId="7" state="visible" r:id="rId7"/>
  </sheets>
  <definedNames>
    <definedName name="ProjectName">'المدخلات'!$C$5</definedName>
    <definedName name="StudyTitle">'المدخلات'!$C$6</definedName>
    <definedName name="City">'المدخلات'!$C$7</definedName>
    <definedName name="District">'المدخلات'!$C$8</definedName>
    <definedName name="Streets">'المدخلات'!$C$9</definedName>
    <definedName name="DeedNo">'المدخلات'!$C$10</definedName>
    <definedName name="UrbanScope">'المدخلات'!$C$11</definedName>
    <definedName name="LandUse">'المدخلات'!$C$12</definedName>
    <definedName name="Developer">'المدخلات'!$C$13</definedName>
    <definedName name="Consultant">'المدخلات'!$C$14</definedName>
    <definedName name="Auditor">'المدخلات'!$C$15</definedName>
    <definedName name="StartDate">'المدخلات'!$C$16</definedName>
    <definedName name="EndDate">'المدخلات'!$C$17</definedName>
    <definedName name="HandoverDate">'المدخلات'!$C$18</definedName>
    <definedName name="LandArea">'المدخلات'!$C$22</definedName>
    <definedName name="BuildRatio">'المدخلات'!$C$23</definedName>
    <definedName name="FAR">'المدخلات'!$C$24</definedName>
    <definedName name="NetRatio">'المدخلات'!$C$25</definedName>
    <definedName name="UnitArea">'المدخلات'!$C$26</definedName>
    <definedName name="ParkPerUnit">'المدخلات'!$C$27</definedName>
    <definedName name="ParkArea">'المدخلات'!$C$28</definedName>
    <definedName name="LandPrice">'المدخلات'!$C$30</definedName>
    <definedName name="LandFeeRate">'المدخلات'!$C$31</definedName>
    <definedName name="ResCostM2">'المدخلات'!$C$33</definedName>
    <definedName name="BasementCostM2">'المدخلات'!$C$34</definedName>
    <definedName name="OtherCostRate">'المدخلات'!$C$35</definedName>
    <definedName name="ContRate">'المدخلات'!$C$36</definedName>
    <definedName name="DevFeeRate">'المدخلات'!$C$37</definedName>
    <definedName name="LoanAmount">'المدخلات'!$C$39</definedName>
    <definedName name="MurabahaRate">'المدخلات'!$C$40</definedName>
    <definedName name="LoanFeeRate">'المدخلات'!$C$41</definedName>
    <definedName name="Months">'المدخلات'!$C$43</definedName>
    <definedName name="ZakatRate">'المدخلات'!$C$44</definedName>
    <definedName name="Footprint">'الحسابات'!$C$6</definedName>
    <definedName name="BUA">'الحسابات'!$C$7</definedName>
    <definedName name="Floors">'الحسابات'!$C$8</definedName>
    <definedName name="NetArea">'الحسابات'!$C$9</definedName>
    <definedName name="Units">'الحسابات'!$C$10</definedName>
    <definedName name="Parking">'الحسابات'!$C$11</definedName>
    <definedName name="BasementArea">'الحسابات'!$C$12</definedName>
    <definedName name="BasementFloors">'الحسابات'!$C$13</definedName>
    <definedName name="LandPurchase">'الحسابات'!$C$15</definedName>
    <definedName name="LandFees">'الحسابات'!$C$16</definedName>
    <definedName name="LandCost">'الحسابات'!$C$17</definedName>
    <definedName name="ResCost">'الحسابات'!$C$18</definedName>
    <definedName name="BasementCost">'الحسابات'!$C$19</definedName>
    <definedName name="DirectCost">'الحسابات'!$C$20</definedName>
    <definedName name="OtherCost">'الحسابات'!$C$21</definedName>
    <definedName name="ContCost">'الحسابات'!$C$22</definedName>
    <definedName name="DevFee">'الحسابات'!$C$23</definedName>
    <definedName name="IndirectCost">'الحسابات'!$C$24</definedName>
    <definedName name="DevCost">'الحسابات'!$C$25</definedName>
    <definedName name="ProjectCost">'الحسابات'!$C$26</definedName>
    <definedName name="LoanFee">'الحسابات'!$C$27</definedName>
    <definedName name="T_Revenue">'الحسابات'!$C$36</definedName>
    <definedName name="T_LandOut">'الحسابات'!$C$38</definedName>
    <definedName name="T_ResOut">'الحسابات'!$C$39</definedName>
    <definedName name="T_BasOut">'الحسابات'!$C$40</definedName>
    <definedName name="T_OtherOut">'الحسابات'!$C$41</definedName>
    <definedName name="T_Murabaha">'الحسابات'!$C$49</definedName>
    <definedName name="T_LoanFeeOut">'الحسابات'!$C$50</definedName>
    <definedName name="T_Equity">'الحسابات'!$C$69</definedName>
    <definedName name="T_NetProfit">'الحسابات'!$C$63</definedName>
    <definedName name="T_Zakat">'الحسابات'!$C$62</definedName>
    <definedName name="T_IS_Gross">'الحسابات'!$C$56</definedName>
    <definedName name="T_IS_EBF">'الحسابات'!$C$59</definedName>
    <definedName name="T_IS_Fin">'الحسابات'!$C$60</definedName>
    <definedName name="T_IS_PBZ">'الحسابات'!$C$61</definedName>
    <definedName name="T_Draw">'الحسابات'!$C$46</definedName>
    <definedName name="T_UnitsSold">'الحسابات'!$C$33</definedName>
    <definedName name="T_SoldArea">'الحسابات'!$C$32</definedName>
    <definedName name="TotalInvest">'الحسابات'!$C$73</definedName>
    <definedName name="BuyersFund">'الحسابات'!$C$74</definedName>
    <definedName name="ROI_Total">'الحسابات'!$C$75</definedName>
    <definedName name="ROI">'الحسابات'!$C$76</definedName>
    <definedName name="IRR">'الحسابات'!$C$77</definedName>
    <definedName name="MarginSales">'الحسابات'!$C$78</definedName>
    <definedName name="MarginCost">'الحسابات'!$C$79</definedName>
    <definedName name="CostPerUnit">'الحسابات'!$C$80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0.0000"/>
    <numFmt numFmtId="167" formatCode="#,##0.00;(#,##0.00);&quot;-&quot;"/>
    <numFmt numFmtId="168" formatCode="yyyy/mm/dd"/>
    <numFmt numFmtId="169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0F7C74"/>
      <sz val="16"/>
    </font>
    <font>
      <name val="Arial"/>
      <color rgb="007F7F7F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C00000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7C7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3F1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49" fontId="6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 wrapText="1"/>
    </xf>
    <xf numFmtId="169" fontId="4" fillId="0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168" fontId="6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right" vertical="center" wrapText="1"/>
    </xf>
    <xf numFmtId="2" fontId="6" fillId="0" borderId="1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right" vertical="center" wrapText="1"/>
    </xf>
    <xf numFmtId="167" fontId="4" fillId="0" borderId="1" applyAlignment="1" pivotButton="0" quotePrefix="0" xfId="0">
      <alignment horizontal="right" vertical="center" wrapText="1"/>
    </xf>
    <xf numFmtId="168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right" vertical="center" wrapText="1"/>
    </xf>
    <xf numFmtId="164" fontId="9" fillId="2" borderId="1" applyAlignment="1" pivotButton="0" quotePrefix="0" xfId="0">
      <alignment horizontal="right" vertical="center" wrapText="1"/>
    </xf>
    <xf numFmtId="167" fontId="6" fillId="5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 wrapText="1"/>
    </xf>
    <xf numFmtId="166" fontId="7" fillId="0" borderId="1" applyAlignment="1" pivotButton="0" quotePrefix="0" xfId="0">
      <alignment horizontal="right" vertical="center" wrapText="1"/>
    </xf>
    <xf numFmtId="167" fontId="7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ملخص مالي (مليون ريال)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'الملخص التنفيذي'!F7</f>
            </strRef>
          </tx>
          <spPr>
            <a:solidFill>
              <a:srgbClr val="0F7C74"/>
            </a:solidFill>
            <a:ln>
              <a:prstDash val="solid"/>
            </a:ln>
          </spPr>
          <cat>
            <numRef>
              <f>'الملخص التنفيذي'!$E$8:$E$11</f>
            </numRef>
          </cat>
          <val>
            <numRef>
              <f>'الملخص التنفيذي'!$F$8:$F$11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B1:G40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الملخص التنفيذي</t>
        </is>
      </c>
    </row>
    <row r="3">
      <c r="B3" s="2" t="inlineStr">
        <is>
          <t>عنوان الدراسة</t>
        </is>
      </c>
      <c r="C3" s="3">
        <f>StudyTitle</f>
        <v/>
      </c>
    </row>
    <row r="4">
      <c r="B4" s="2" t="inlineStr">
        <is>
          <t>موقع المشروع</t>
        </is>
      </c>
      <c r="C4" s="3">
        <f>District&amp;" - "&amp;City</f>
        <v/>
      </c>
    </row>
    <row r="6">
      <c r="B6" s="4" t="inlineStr">
        <is>
          <t>ملخص الدراسة المالية</t>
        </is>
      </c>
      <c r="C6" s="4" t="n"/>
    </row>
    <row r="7">
      <c r="B7" s="5" t="inlineStr">
        <is>
          <t>العناصر</t>
        </is>
      </c>
      <c r="C7" s="5" t="inlineStr">
        <is>
          <t>القيمة (ريال)</t>
        </is>
      </c>
      <c r="E7" s="5" t="inlineStr">
        <is>
          <t>البند</t>
        </is>
      </c>
      <c r="F7" s="5" t="inlineStr">
        <is>
          <t>مليون ريال</t>
        </is>
      </c>
    </row>
    <row r="8">
      <c r="B8" s="2" t="inlineStr">
        <is>
          <t>صافي المبيعات - الوحدات السكنية</t>
        </is>
      </c>
      <c r="C8" s="6">
        <f>T_Revenue</f>
        <v/>
      </c>
      <c r="E8" s="2" t="inlineStr">
        <is>
          <t>إجمالي الإيرادات</t>
        </is>
      </c>
      <c r="F8" s="7">
        <f>T_Revenue/1e6</f>
        <v/>
      </c>
    </row>
    <row r="9">
      <c r="B9" s="8" t="inlineStr">
        <is>
          <t>إجمالي الإيرادات</t>
        </is>
      </c>
      <c r="C9" s="9">
        <f>T_Revenue</f>
        <v/>
      </c>
      <c r="E9" s="2" t="inlineStr">
        <is>
          <t>تكاليف الأرض</t>
        </is>
      </c>
      <c r="F9" s="7">
        <f>LandCost/1e6</f>
        <v/>
      </c>
    </row>
    <row r="10">
      <c r="B10" s="8" t="inlineStr">
        <is>
          <t>إجمالي تكاليف الأرض الخام</t>
        </is>
      </c>
      <c r="C10" s="9">
        <f>LandCost</f>
        <v/>
      </c>
      <c r="E10" s="2" t="inlineStr">
        <is>
          <t>التكاليف الإنشائية والفنية</t>
        </is>
      </c>
      <c r="F10" s="7">
        <f>(DevCost+T_Murabaha+T_LoanFeeOut)/1e6</f>
        <v/>
      </c>
    </row>
    <row r="11">
      <c r="B11" s="2" t="inlineStr">
        <is>
          <t>تكاليف الإنشاءات</t>
        </is>
      </c>
      <c r="C11" s="6">
        <f>ResCost</f>
        <v/>
      </c>
      <c r="E11" s="2" t="inlineStr">
        <is>
          <t>صافي الربح</t>
        </is>
      </c>
      <c r="F11" s="7">
        <f>T_NetProfit/1e6</f>
        <v/>
      </c>
    </row>
    <row r="12">
      <c r="B12" s="2" t="inlineStr">
        <is>
          <t>تكاليف تطوير البنية التحتية (القبو والمواقف)</t>
        </is>
      </c>
      <c r="C12" s="6">
        <f>BasementCost</f>
        <v/>
      </c>
    </row>
    <row r="13">
      <c r="B13" s="2" t="inlineStr">
        <is>
          <t>مصاريف الاستشاري الهندسي</t>
        </is>
      </c>
      <c r="C13" s="6" t="n">
        <v>0</v>
      </c>
    </row>
    <row r="14">
      <c r="B14" s="2" t="inlineStr">
        <is>
          <t>مصاريف المحاسب القانوني</t>
        </is>
      </c>
      <c r="C14" s="6" t="n">
        <v>0</v>
      </c>
    </row>
    <row r="15">
      <c r="B15" s="2" t="inlineStr">
        <is>
          <t>تكاليف الإشراف والمتابعة والعمولة</t>
        </is>
      </c>
      <c r="C15" s="6" t="n">
        <v>0</v>
      </c>
    </row>
    <row r="16">
      <c r="B16" s="2" t="inlineStr">
        <is>
          <t>تكاليف التسويق</t>
        </is>
      </c>
      <c r="C16" s="6" t="n">
        <v>0</v>
      </c>
    </row>
    <row r="17">
      <c r="B17" s="2" t="inlineStr">
        <is>
          <t>تكاليف الرواتب والأجور</t>
        </is>
      </c>
      <c r="C17" s="6" t="n">
        <v>0</v>
      </c>
    </row>
    <row r="18">
      <c r="B18" s="2" t="inlineStr">
        <is>
          <t>مصاريف إدارية وعمومية</t>
        </is>
      </c>
      <c r="C18" s="6" t="n">
        <v>0</v>
      </c>
    </row>
    <row r="19">
      <c r="B19" s="2" t="inlineStr">
        <is>
          <t>تكاليف التمويل</t>
        </is>
      </c>
      <c r="C19" s="6">
        <f>T_Murabaha+T_LoanFeeOut</f>
        <v/>
      </c>
    </row>
    <row r="20">
      <c r="B20" s="2" t="inlineStr">
        <is>
          <t>تكاليف ورسوم أخرى (تصاميم، إشراف، رسوم حكومية، تسويق - مجمعة)</t>
        </is>
      </c>
      <c r="C20" s="6">
        <f>IndirectCost</f>
        <v/>
      </c>
    </row>
    <row r="21">
      <c r="B21" s="8" t="inlineStr">
        <is>
          <t>إجمالي التكاليف الإنشائية والفنية</t>
        </is>
      </c>
      <c r="C21" s="9">
        <f>SUM(C11:C20)</f>
        <v/>
      </c>
    </row>
    <row r="22">
      <c r="B22" s="2" t="inlineStr">
        <is>
          <t>الزكاة / الضريبة</t>
        </is>
      </c>
      <c r="C22" s="6">
        <f>T_Zakat</f>
        <v/>
      </c>
    </row>
    <row r="23">
      <c r="B23" s="8" t="inlineStr">
        <is>
          <t>صافي الربح</t>
        </is>
      </c>
      <c r="C23" s="9">
        <f>T_NetProfit</f>
        <v/>
      </c>
    </row>
    <row r="24">
      <c r="B24" s="10" t="inlineStr">
        <is>
          <t>* الملف الأصلي يجمع مصاريف الاستشاري والتصميم والإشراف والتسويق والرسوم في بند واحد (2%) - يلزم التفصيل.</t>
        </is>
      </c>
    </row>
    <row r="26">
      <c r="B26" s="4" t="inlineStr">
        <is>
          <t>مؤشرات التقييم / الجدوى</t>
        </is>
      </c>
      <c r="C26" s="4" t="n"/>
    </row>
    <row r="27">
      <c r="B27" s="2" t="inlineStr">
        <is>
          <t>تكاليف الأرض (ريال)</t>
        </is>
      </c>
      <c r="C27" s="11">
        <f>LandCost</f>
        <v/>
      </c>
    </row>
    <row r="28">
      <c r="B28" s="2" t="inlineStr">
        <is>
          <t>تكاليف التطوير (ريال)</t>
        </is>
      </c>
      <c r="C28" s="11">
        <f>DevCost</f>
        <v/>
      </c>
    </row>
    <row r="29">
      <c r="B29" s="2" t="inlineStr">
        <is>
          <t>معدل العائد على الاستثمار (ROI) - سنوي</t>
        </is>
      </c>
      <c r="C29" s="12">
        <f>ROI</f>
        <v/>
      </c>
    </row>
    <row r="30">
      <c r="B30" s="2" t="inlineStr">
        <is>
          <t>معدل العائد الداخلي - العائد على التطوير (IRR)</t>
        </is>
      </c>
      <c r="C30" s="12">
        <f>IRR</f>
        <v/>
      </c>
    </row>
    <row r="32">
      <c r="B32" s="4" t="inlineStr">
        <is>
          <t>ملخص الدراسة التمهيدية والتسويقية</t>
        </is>
      </c>
      <c r="C32" s="4" t="n"/>
      <c r="D32" s="4" t="n"/>
      <c r="E32" s="4" t="n"/>
      <c r="F32" s="4" t="n"/>
      <c r="G32" s="4" t="n"/>
    </row>
    <row r="33" ht="72" customHeight="1">
      <c r="B33" s="8" t="inlineStr">
        <is>
          <t>الملخص</t>
        </is>
      </c>
      <c r="C33" s="13" t="n"/>
    </row>
    <row r="34">
      <c r="B34" s="4" t="inlineStr">
        <is>
          <t>ملخص الدراسة الفنية</t>
        </is>
      </c>
      <c r="C34" s="4" t="n"/>
      <c r="D34" s="4" t="n"/>
      <c r="E34" s="4" t="n"/>
      <c r="F34" s="4" t="n"/>
      <c r="G34" s="4" t="n"/>
    </row>
    <row r="35" ht="48" customHeight="1">
      <c r="B35" s="2">
        <f>"مشروع شقق سكنية على أرض مساحتها "&amp;TEXT(LandArea,"#,##0")&amp;" م2، بمسطحات بناء "&amp;TEXT(BUA,"#,##0")&amp;" م2 على "&amp;TEXT(Floors,"0.0")&amp;" أدوار تقريباً، ومساحة صافية للبيع "&amp;TEXT(NetArea,"#,##0")&amp;" م2 ("&amp;TEXT(Units,"0")&amp;" وحدة تقريباً بمتوسط "&amp;TEXT(UnitArea,"0")&amp;" م2)، مع قبو مواقف بمساحة "&amp;TEXT(BasementArea,"#,##0")&amp;" م2."</f>
        <v/>
      </c>
    </row>
    <row r="37">
      <c r="B37" s="4" t="inlineStr">
        <is>
          <t>الفترة الزمنية للتطوير والفحص والتسليم</t>
        </is>
      </c>
      <c r="C37" s="4" t="n"/>
    </row>
    <row r="38">
      <c r="B38" s="2" t="inlineStr">
        <is>
          <t>بداية المشروع</t>
        </is>
      </c>
      <c r="C38" s="14">
        <f>IF(StartDate="","",StartDate)</f>
        <v/>
      </c>
    </row>
    <row r="39">
      <c r="B39" s="2" t="inlineStr">
        <is>
          <t>مدة تنفيذ المشروع (شهر)</t>
        </is>
      </c>
      <c r="C39" s="11">
        <f>Months</f>
        <v/>
      </c>
    </row>
    <row r="40">
      <c r="B40" s="2" t="inlineStr">
        <is>
          <t>نهاية المشروع</t>
        </is>
      </c>
      <c r="C40" s="14">
        <f>IF(EndDate="","",EndDate)</f>
        <v/>
      </c>
    </row>
  </sheetData>
  <mergeCells count="2">
    <mergeCell ref="B35:G35"/>
    <mergeCell ref="C33:G3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B1:I40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الدراسة التمهيدية والتسويقية</t>
        </is>
      </c>
    </row>
    <row r="2">
      <c r="B2" s="15" t="inlineStr">
        <is>
          <t>الخلايا الصفراء بيانات نوعية مطلوبة من العميل</t>
        </is>
      </c>
    </row>
    <row r="4">
      <c r="B4" s="4" t="inlineStr">
        <is>
          <t>نبذة عامة للمشروع</t>
        </is>
      </c>
      <c r="C4" s="4" t="n"/>
      <c r="D4" s="4" t="n"/>
      <c r="E4" s="4" t="n"/>
      <c r="F4" s="4" t="n"/>
      <c r="G4" s="4" t="n"/>
    </row>
    <row r="5" ht="36" customHeight="1">
      <c r="B5" s="8" t="inlineStr">
        <is>
          <t>وصف فكرة المشروع</t>
        </is>
      </c>
      <c r="C5" s="2">
        <f>"تطوير "&amp;TEXT(Units,"0")&amp;" شقة سكنية تقريباً بمتوسط مساحة "&amp;UnitArea&amp;" م2 في حي "&amp;District&amp;" وبيعها على الخارطة خلال "&amp;Months&amp;" شهراً."</f>
        <v/>
      </c>
    </row>
    <row r="6">
      <c r="B6" s="8" t="inlineStr">
        <is>
          <t>المطور العقاري</t>
        </is>
      </c>
      <c r="C6" s="2">
        <f>IF(Developer="","",Developer)</f>
        <v/>
      </c>
    </row>
    <row r="7">
      <c r="B7" s="8" t="inlineStr">
        <is>
          <t>نوع وعدد ومساحات الوحدات السكنية</t>
        </is>
      </c>
      <c r="C7" s="2">
        <f>"شقق سكنية - "&amp;TEXT(Units,"0.0")&amp;" وحدة - متوسط "&amp;UnitArea&amp;" م2"</f>
        <v/>
      </c>
    </row>
    <row r="8">
      <c r="B8" s="8" t="inlineStr">
        <is>
          <t>المستشار الهندسي الرئيسي</t>
        </is>
      </c>
      <c r="C8" s="2">
        <f>IF(Consultant="","",Consultant)</f>
        <v/>
      </c>
    </row>
    <row r="9">
      <c r="B9" s="8" t="inlineStr">
        <is>
          <t>المحاسب القانوني (إذا انطبق)</t>
        </is>
      </c>
      <c r="C9" s="2">
        <f>IF(Auditor="","",Auditor)</f>
        <v/>
      </c>
    </row>
    <row r="11">
      <c r="B11" s="4" t="inlineStr">
        <is>
          <t>حجم القطاع العقاري - مساهمة القطاع في الناتج المحلي (آخر 3 سنوات)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5" t="inlineStr">
        <is>
          <t>الفئة / السنة</t>
        </is>
      </c>
      <c r="C12" s="5" t="inlineStr">
        <is>
          <t>2023 قيمة الناتج</t>
        </is>
      </c>
      <c r="D12" s="5" t="inlineStr">
        <is>
          <t>% من الناتج</t>
        </is>
      </c>
      <c r="E12" s="5" t="inlineStr">
        <is>
          <t>معدل النمو</t>
        </is>
      </c>
      <c r="F12" s="5" t="inlineStr">
        <is>
          <t>2024 قيمة الناتج</t>
        </is>
      </c>
      <c r="G12" s="5" t="inlineStr">
        <is>
          <t>% من الناتج</t>
        </is>
      </c>
      <c r="H12" s="5" t="inlineStr">
        <is>
          <t>معدل النمو</t>
        </is>
      </c>
    </row>
    <row r="13">
      <c r="B13" s="2" t="inlineStr">
        <is>
          <t>الأنشطة العقارية</t>
        </is>
      </c>
      <c r="C13" s="13" t="n"/>
      <c r="D13" s="13" t="n"/>
      <c r="E13" s="13" t="n"/>
      <c r="F13" s="13" t="n"/>
      <c r="G13" s="13" t="n"/>
      <c r="H13" s="13" t="n"/>
    </row>
    <row r="14">
      <c r="B14" s="2" t="inlineStr">
        <is>
          <t>الناتج المحلي الإجمالي</t>
        </is>
      </c>
      <c r="C14" s="13" t="n"/>
      <c r="D14" s="13" t="n"/>
      <c r="E14" s="13" t="n"/>
      <c r="F14" s="13" t="n"/>
      <c r="G14" s="13" t="n"/>
      <c r="H14" s="13" t="n"/>
    </row>
    <row r="15" ht="54" customHeight="1">
      <c r="B15" s="8" t="inlineStr">
        <is>
          <t>نبذة عن الوضع الحالي والتطورات المستقبلية للقطاع</t>
        </is>
      </c>
      <c r="C15" s="13" t="n"/>
    </row>
    <row r="17">
      <c r="B17" s="4" t="inlineStr">
        <is>
          <t>العملاء المستهدفين</t>
        </is>
      </c>
      <c r="C17" s="4" t="n"/>
      <c r="D17" s="4" t="n"/>
      <c r="E17" s="4" t="n"/>
      <c r="F17" s="4" t="n"/>
      <c r="G17" s="4" t="n"/>
    </row>
    <row r="18" ht="54" customHeight="1">
      <c r="B18" s="8" t="inlineStr">
        <is>
          <t>شرائح العملاء</t>
        </is>
      </c>
      <c r="C18" s="13" t="n"/>
    </row>
    <row r="19" ht="54" customHeight="1">
      <c r="B19" s="8" t="inlineStr">
        <is>
          <t>قنوات الوصول للعملاء</t>
        </is>
      </c>
      <c r="C19" s="13" t="n"/>
    </row>
    <row r="20" ht="54" customHeight="1">
      <c r="B20" s="8" t="inlineStr">
        <is>
          <t>العلاقات مع العملاء</t>
        </is>
      </c>
      <c r="C20" s="13" t="n"/>
    </row>
    <row r="22">
      <c r="B22" s="4" t="inlineStr">
        <is>
          <t>المشاريع المنافسة</t>
        </is>
      </c>
      <c r="C22" s="4" t="n"/>
      <c r="D22" s="4" t="n"/>
      <c r="E22" s="4" t="n"/>
      <c r="F22" s="4" t="n"/>
      <c r="G22" s="4" t="n"/>
      <c r="H22" s="4" t="n"/>
      <c r="I22" s="4" t="n"/>
    </row>
    <row r="23">
      <c r="B23" s="5" t="inlineStr">
        <is>
          <t>اسم المشروع</t>
        </is>
      </c>
      <c r="C23" s="5" t="inlineStr">
        <is>
          <t>المساحة (م2)</t>
        </is>
      </c>
      <c r="D23" s="5" t="inlineStr">
        <is>
          <t>نوع الوحدات</t>
        </is>
      </c>
      <c r="E23" s="5" t="inlineStr">
        <is>
          <t>عدد الوحدات</t>
        </is>
      </c>
      <c r="F23" s="5" t="inlineStr">
        <is>
          <t>متوسط سعر المتر</t>
        </is>
      </c>
      <c r="G23" s="5" t="inlineStr">
        <is>
          <t>الموقع</t>
        </is>
      </c>
      <c r="H23" s="5" t="inlineStr">
        <is>
          <t>المطور</t>
        </is>
      </c>
    </row>
    <row r="24">
      <c r="B24" s="13" t="n"/>
      <c r="C24" s="13" t="n"/>
      <c r="D24" s="13" t="n"/>
      <c r="E24" s="13" t="n"/>
      <c r="F24" s="13" t="n"/>
      <c r="G24" s="13" t="n"/>
      <c r="H24" s="13" t="n"/>
    </row>
    <row r="25">
      <c r="B25" s="13" t="n"/>
      <c r="C25" s="13" t="n"/>
      <c r="D25" s="13" t="n"/>
      <c r="E25" s="13" t="n"/>
      <c r="F25" s="13" t="n"/>
      <c r="G25" s="13" t="n"/>
      <c r="H25" s="13" t="n"/>
    </row>
    <row r="26">
      <c r="B26" s="13" t="n"/>
      <c r="C26" s="13" t="n"/>
      <c r="D26" s="13" t="n"/>
      <c r="E26" s="13" t="n"/>
      <c r="F26" s="13" t="n"/>
      <c r="G26" s="13" t="n"/>
      <c r="H26" s="13" t="n"/>
    </row>
    <row r="27">
      <c r="B27" s="13" t="n"/>
      <c r="C27" s="13" t="n"/>
      <c r="D27" s="13" t="n"/>
      <c r="E27" s="13" t="n"/>
      <c r="F27" s="13" t="n"/>
      <c r="G27" s="13" t="n"/>
      <c r="H27" s="13" t="n"/>
    </row>
    <row r="28">
      <c r="B28" s="13" t="n"/>
      <c r="C28" s="13" t="n"/>
      <c r="D28" s="13" t="n"/>
      <c r="E28" s="13" t="n"/>
      <c r="F28" s="13" t="n"/>
      <c r="G28" s="13" t="n"/>
      <c r="H28" s="13" t="n"/>
    </row>
    <row r="30">
      <c r="B30" s="4" t="inlineStr">
        <is>
          <t>التحليل الرباعي (SWOT)</t>
        </is>
      </c>
      <c r="C30" s="4" t="n"/>
      <c r="D30" s="4" t="n"/>
      <c r="E30" s="4" t="n"/>
      <c r="F30" s="4" t="n"/>
      <c r="G30" s="4" t="n"/>
    </row>
    <row r="31" ht="54" customHeight="1">
      <c r="B31" s="8" t="inlineStr">
        <is>
          <t>نقاط القوة</t>
        </is>
      </c>
      <c r="C31" s="13" t="n"/>
    </row>
    <row r="32" ht="54" customHeight="1">
      <c r="B32" s="8" t="inlineStr">
        <is>
          <t>نقاط الضعف</t>
        </is>
      </c>
      <c r="C32" s="13" t="n"/>
    </row>
    <row r="33" ht="54" customHeight="1">
      <c r="B33" s="8" t="inlineStr">
        <is>
          <t>الفرص</t>
        </is>
      </c>
      <c r="C33" s="13" t="n"/>
    </row>
    <row r="34" ht="54" customHeight="1">
      <c r="B34" s="8" t="inlineStr">
        <is>
          <t>التهديدات</t>
        </is>
      </c>
      <c r="C34" s="13" t="n"/>
    </row>
    <row r="36">
      <c r="B36" s="4" t="inlineStr">
        <is>
          <t>المزيج التسويقي</t>
        </is>
      </c>
      <c r="C36" s="4" t="n"/>
      <c r="D36" s="4" t="n"/>
      <c r="E36" s="4" t="n"/>
      <c r="F36" s="4" t="n"/>
      <c r="G36" s="4" t="n"/>
    </row>
    <row r="37">
      <c r="B37" s="8" t="inlineStr">
        <is>
          <t>الخدمات / المنتجات</t>
        </is>
      </c>
      <c r="C37" s="2">
        <f>"شقق سكنية بمتوسط مساحة "&amp;UnitArea&amp;" م2 مع مواقف في القبو"</f>
        <v/>
      </c>
    </row>
    <row r="38">
      <c r="B38" s="8" t="inlineStr">
        <is>
          <t>التسعير</t>
        </is>
      </c>
      <c r="C38" s="2">
        <f>"متوسط سعر المتر "&amp;TEXT('المدخلات'!E51,"#,##0")&amp;" ريال في المرحلة الأولى و"&amp;TEXT('المدخلات'!F51,"#,##0")&amp;" ريال في المرحلة الثانية (متوسط "&amp;TEXT('الحسابات'!C34,"#,##0")&amp;" ريال)"</f>
        <v/>
      </c>
    </row>
    <row r="39" ht="54" customHeight="1">
      <c r="B39" s="8" t="inlineStr">
        <is>
          <t>الترويج</t>
        </is>
      </c>
      <c r="C39" s="13" t="n"/>
    </row>
    <row r="40" ht="54" customHeight="1">
      <c r="B40" s="8" t="inlineStr">
        <is>
          <t>التوزيع</t>
        </is>
      </c>
      <c r="C40" s="13" t="n"/>
    </row>
  </sheetData>
  <mergeCells count="17">
    <mergeCell ref="C7:G7"/>
    <mergeCell ref="C20:G20"/>
    <mergeCell ref="C34:G34"/>
    <mergeCell ref="C6:G6"/>
    <mergeCell ref="C32:G32"/>
    <mergeCell ref="C18:G18"/>
    <mergeCell ref="C38:G38"/>
    <mergeCell ref="C15:G15"/>
    <mergeCell ref="C33:G33"/>
    <mergeCell ref="C5:G5"/>
    <mergeCell ref="C19:G19"/>
    <mergeCell ref="C37:G37"/>
    <mergeCell ref="C40:G40"/>
    <mergeCell ref="C31:G31"/>
    <mergeCell ref="C39:G39"/>
    <mergeCell ref="C8:G8"/>
    <mergeCell ref="C9:G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B1:G62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0" customWidth="1" min="3" max="3"/>
    <col width="18" customWidth="1" min="4" max="4"/>
    <col width="20" customWidth="1" min="5" max="5"/>
    <col width="18" customWidth="1" min="6" max="6"/>
    <col width="18" customWidth="1" min="7" max="7"/>
  </cols>
  <sheetData>
    <row r="1">
      <c r="B1" s="1" t="inlineStr">
        <is>
          <t>الدراسة الفنية</t>
        </is>
      </c>
    </row>
    <row r="4">
      <c r="B4" s="4" t="inlineStr">
        <is>
          <t>تحليل الموقع</t>
        </is>
      </c>
      <c r="C4" s="4" t="n"/>
    </row>
    <row r="5">
      <c r="B5" s="2" t="inlineStr">
        <is>
          <t>موقع المشروع (حي - مدينة)</t>
        </is>
      </c>
      <c r="C5" s="3">
        <f>District&amp;" - "&amp;City</f>
        <v/>
      </c>
    </row>
    <row r="6">
      <c r="B6" s="2" t="inlineStr">
        <is>
          <t>الشوارع الرئيسية</t>
        </is>
      </c>
      <c r="C6" s="3">
        <f>IF(Streets="","",Streets)</f>
        <v/>
      </c>
    </row>
    <row r="7">
      <c r="B7" s="2" t="inlineStr">
        <is>
          <t>نطاق الموقع</t>
        </is>
      </c>
      <c r="C7" s="3">
        <f>IF(UrbanScope="","",UrbanScope)</f>
        <v/>
      </c>
    </row>
    <row r="8">
      <c r="B8" s="2" t="inlineStr">
        <is>
          <t>المساحة (وفقاً للصك) م2</t>
        </is>
      </c>
      <c r="C8" s="11">
        <f>LandArea</f>
        <v/>
      </c>
    </row>
    <row r="9">
      <c r="B9" s="2" t="inlineStr">
        <is>
          <t>رقم الصك</t>
        </is>
      </c>
      <c r="C9" s="3">
        <f>IF(DeedNo="","",DeedNo)</f>
        <v/>
      </c>
    </row>
    <row r="10">
      <c r="B10" s="2" t="inlineStr">
        <is>
          <t>الاستخدامات</t>
        </is>
      </c>
      <c r="C10" s="3">
        <f>LandUse</f>
        <v/>
      </c>
    </row>
    <row r="11">
      <c r="B11" s="2" t="inlineStr">
        <is>
          <t>المساحة السكنية م2</t>
        </is>
      </c>
      <c r="C11" s="11">
        <f>BUA</f>
        <v/>
      </c>
    </row>
    <row r="12">
      <c r="B12" s="2" t="inlineStr">
        <is>
          <t>المساحة التجارية م2</t>
        </is>
      </c>
      <c r="C12" s="11" t="n">
        <v>0</v>
      </c>
    </row>
    <row r="13">
      <c r="B13" s="2" t="inlineStr">
        <is>
          <t>المساحة السكنية التجارية م2</t>
        </is>
      </c>
      <c r="C13" s="11" t="n">
        <v>0</v>
      </c>
    </row>
    <row r="14" ht="54" customHeight="1">
      <c r="B14" s="8" t="inlineStr">
        <is>
          <t>نبذة عن موقع المشروع وإحداثياته (خريطة)</t>
        </is>
      </c>
      <c r="C14" s="13" t="n"/>
    </row>
    <row r="16">
      <c r="B16" s="4" t="inlineStr">
        <is>
          <t>التوزيع المساحي</t>
        </is>
      </c>
      <c r="C16" s="4" t="n"/>
      <c r="D16" s="4" t="n"/>
      <c r="E16" s="4" t="n"/>
      <c r="F16" s="4" t="n"/>
      <c r="G16" s="4" t="n"/>
    </row>
    <row r="17">
      <c r="B17" s="5" t="inlineStr">
        <is>
          <t>البيان</t>
        </is>
      </c>
      <c r="C17" s="5" t="inlineStr">
        <is>
          <t>المساحة (م2)</t>
        </is>
      </c>
      <c r="D17" s="5" t="inlineStr">
        <is>
          <t>النسبة من الأرض</t>
        </is>
      </c>
    </row>
    <row r="18">
      <c r="B18" s="2" t="inlineStr">
        <is>
          <t>مساحة المخطط بالكامل (الأرض)</t>
        </is>
      </c>
      <c r="C18" s="6">
        <f>LandArea</f>
        <v/>
      </c>
      <c r="D18" s="16">
        <f>IFERROR(C18/LandArea,0)</f>
        <v/>
      </c>
    </row>
    <row r="19">
      <c r="B19" s="2" t="inlineStr">
        <is>
          <t>المساحة المبنى عليها (الأرضي)</t>
        </is>
      </c>
      <c r="C19" s="6">
        <f>Footprint</f>
        <v/>
      </c>
      <c r="D19" s="16">
        <f>IFERROR(C19/LandArea,0)</f>
        <v/>
      </c>
    </row>
    <row r="20">
      <c r="B20" s="2" t="inlineStr">
        <is>
          <t>المسطحات البنائية فوق الأرض</t>
        </is>
      </c>
      <c r="C20" s="6">
        <f>BUA</f>
        <v/>
      </c>
      <c r="D20" s="16">
        <f>IFERROR(C20/LandArea,0)</f>
        <v/>
      </c>
    </row>
    <row r="21">
      <c r="B21" s="2" t="inlineStr">
        <is>
          <t>المساحة الصافية القابلة للبيع</t>
        </is>
      </c>
      <c r="C21" s="6">
        <f>NetArea</f>
        <v/>
      </c>
      <c r="D21" s="16">
        <f>IFERROR(C21/LandArea,0)</f>
        <v/>
      </c>
    </row>
    <row r="22">
      <c r="B22" s="2" t="inlineStr">
        <is>
          <t>مساحة القبو (مواقف)</t>
        </is>
      </c>
      <c r="C22" s="6">
        <f>BasementArea</f>
        <v/>
      </c>
      <c r="D22" s="16">
        <f>IFERROR(C22/LandArea,0)</f>
        <v/>
      </c>
    </row>
    <row r="23">
      <c r="B23" s="2" t="inlineStr">
        <is>
          <t>عدد الأدوار</t>
        </is>
      </c>
      <c r="C23" s="17">
        <f>Floors</f>
        <v/>
      </c>
    </row>
    <row r="24">
      <c r="B24" s="2" t="inlineStr">
        <is>
          <t>عدد أدوار القبو</t>
        </is>
      </c>
      <c r="C24" s="17">
        <f>BasementFloors</f>
        <v/>
      </c>
    </row>
    <row r="25">
      <c r="B25" s="2" t="inlineStr">
        <is>
          <t>عدد المواقف المطلوبة</t>
        </is>
      </c>
      <c r="C25" s="18">
        <f>Parking</f>
        <v/>
      </c>
    </row>
    <row r="27">
      <c r="B27" s="4" t="inlineStr">
        <is>
          <t>نبذة عن الوحدات العقارية</t>
        </is>
      </c>
      <c r="C27" s="4" t="n"/>
      <c r="D27" s="4" t="n"/>
      <c r="E27" s="4" t="n"/>
      <c r="F27" s="4" t="n"/>
      <c r="G27" s="4" t="n"/>
    </row>
    <row r="28">
      <c r="B28" s="5" t="inlineStr">
        <is>
          <t>نوع الوحدات</t>
        </is>
      </c>
      <c r="C28" s="5" t="inlineStr">
        <is>
          <t>متوسط المساحة م2</t>
        </is>
      </c>
      <c r="D28" s="5" t="inlineStr">
        <is>
          <t>عدد الوحدات</t>
        </is>
      </c>
      <c r="E28" s="5" t="inlineStr">
        <is>
          <t>متوسط سعر التعاقد (ريال)</t>
        </is>
      </c>
      <c r="F28" s="5" t="inlineStr">
        <is>
          <t>تاريخ التسليم المتوقع</t>
        </is>
      </c>
    </row>
    <row r="29">
      <c r="B29" s="2" t="inlineStr">
        <is>
          <t>شقق سكنية - السنة الأولى</t>
        </is>
      </c>
      <c r="C29" s="6">
        <f>UnitArea</f>
        <v/>
      </c>
      <c r="D29" s="19">
        <f>'الحسابات'!E33</f>
        <v/>
      </c>
      <c r="E29" s="6">
        <f>'الحسابات'!E35</f>
        <v/>
      </c>
      <c r="F29" s="20">
        <f>IF(HandoverDate="","",HandoverDate)</f>
        <v/>
      </c>
    </row>
    <row r="30">
      <c r="B30" s="2" t="inlineStr">
        <is>
          <t>شقق سكنية - السنة الثانية</t>
        </is>
      </c>
      <c r="C30" s="6">
        <f>UnitArea</f>
        <v/>
      </c>
      <c r="D30" s="19">
        <f>'الحسابات'!F33</f>
        <v/>
      </c>
      <c r="E30" s="6">
        <f>'الحسابات'!F35</f>
        <v/>
      </c>
      <c r="F30" s="20">
        <f>IF(HandoverDate="","",HandoverDate)</f>
        <v/>
      </c>
    </row>
    <row r="32">
      <c r="B32" s="4" t="inlineStr">
        <is>
          <t>المدة الزمنية</t>
        </is>
      </c>
      <c r="C32" s="4" t="n"/>
    </row>
    <row r="33">
      <c r="B33" s="2" t="inlineStr">
        <is>
          <t>التاريخ المتوقع لبداية المشروع</t>
        </is>
      </c>
      <c r="C33" s="14">
        <f>IF(StartDate="","",StartDate)</f>
        <v/>
      </c>
    </row>
    <row r="34">
      <c r="B34" s="2" t="inlineStr">
        <is>
          <t>التاريخ المتوقع لانتهاء المشروع</t>
        </is>
      </c>
      <c r="C34" s="14">
        <f>IF(EndDate="","",EndDate)</f>
        <v/>
      </c>
    </row>
    <row r="35">
      <c r="B35" s="2" t="inlineStr">
        <is>
          <t>التاريخ المتوقع لتسليم الوحدات</t>
        </is>
      </c>
      <c r="C35" s="14">
        <f>IF(HandoverDate="","",HandoverDate)</f>
        <v/>
      </c>
    </row>
    <row r="36">
      <c r="B36" s="2" t="inlineStr">
        <is>
          <t>مدة المشروع (شهر)</t>
        </is>
      </c>
      <c r="C36" s="11">
        <f>Months</f>
        <v/>
      </c>
    </row>
    <row r="38">
      <c r="B38" s="4" t="inlineStr">
        <is>
          <t>عناصر التكاليف الاستثمارية</t>
        </is>
      </c>
      <c r="C38" s="4" t="n"/>
      <c r="D38" s="4" t="n"/>
      <c r="E38" s="4" t="n"/>
    </row>
    <row r="39">
      <c r="B39" s="5" t="inlineStr">
        <is>
          <t>تكاليف الأرض</t>
        </is>
      </c>
      <c r="C39" s="5" t="inlineStr">
        <is>
          <t>المساحة م2</t>
        </is>
      </c>
      <c r="D39" s="5" t="inlineStr">
        <is>
          <t>سعر المتر</t>
        </is>
      </c>
      <c r="E39" s="5" t="inlineStr">
        <is>
          <t>القيمة الإجمالية</t>
        </is>
      </c>
    </row>
    <row r="40">
      <c r="B40" s="2" t="inlineStr">
        <is>
          <t>قيمة شراء الأرض</t>
        </is>
      </c>
      <c r="C40" s="6">
        <f>LandArea</f>
        <v/>
      </c>
      <c r="D40" s="6">
        <f>LandPrice</f>
        <v/>
      </c>
      <c r="E40" s="6">
        <f>LandPurchase</f>
        <v/>
      </c>
    </row>
    <row r="41">
      <c r="B41" s="2" t="inlineStr">
        <is>
          <t>السعي والضريبة</t>
        </is>
      </c>
      <c r="C41" s="6" t="n"/>
      <c r="D41" s="16">
        <f>LandFeeRate</f>
        <v/>
      </c>
      <c r="E41" s="6">
        <f>LandFees</f>
        <v/>
      </c>
    </row>
    <row r="42">
      <c r="B42" s="21" t="inlineStr">
        <is>
          <t>إجمالي تكاليف الأرض</t>
        </is>
      </c>
      <c r="C42" s="6">
        <f>LandArea</f>
        <v/>
      </c>
      <c r="D42" s="6">
        <f>IFERROR(LandCost/LandArea,0)</f>
        <v/>
      </c>
      <c r="E42" s="11">
        <f>LandCost</f>
        <v/>
      </c>
    </row>
    <row r="44">
      <c r="B44" s="5" t="inlineStr">
        <is>
          <t>التكاليف الإنشائية</t>
        </is>
      </c>
      <c r="C44" s="5" t="inlineStr">
        <is>
          <t>المساحة م2</t>
        </is>
      </c>
      <c r="D44" s="5" t="inlineStr">
        <is>
          <t>تكلفة الإنشاء بالمتر</t>
        </is>
      </c>
      <c r="E44" s="5" t="inlineStr">
        <is>
          <t>القيمة الإجمالية</t>
        </is>
      </c>
    </row>
    <row r="45">
      <c r="B45" s="2" t="inlineStr">
        <is>
          <t>تكاليف المباني والإنشاءات</t>
        </is>
      </c>
      <c r="C45" s="6">
        <f>BUA</f>
        <v/>
      </c>
      <c r="D45" s="6">
        <f>ResCostM2</f>
        <v/>
      </c>
      <c r="E45" s="6">
        <f>ResCost</f>
        <v/>
      </c>
    </row>
    <row r="46">
      <c r="B46" s="2" t="inlineStr">
        <is>
          <t>تكاليف البنية التحتية والمرافق (القبو والمواقف)</t>
        </is>
      </c>
      <c r="C46" s="6">
        <f>BasementArea</f>
        <v/>
      </c>
      <c r="D46" s="6">
        <f>BasementCostM2</f>
        <v/>
      </c>
      <c r="E46" s="6">
        <f>BasementCost</f>
        <v/>
      </c>
    </row>
    <row r="47">
      <c r="B47" s="21" t="inlineStr">
        <is>
          <t>القيمة الإجمالية لتكاليف الإنشاءات</t>
        </is>
      </c>
      <c r="C47" s="6">
        <f>BUA+BasementArea</f>
        <v/>
      </c>
      <c r="D47" s="6">
        <f>IFERROR(DirectCost/(BUA+BasementArea),0)</f>
        <v/>
      </c>
      <c r="E47" s="11">
        <f>DirectCost</f>
        <v/>
      </c>
    </row>
    <row r="49">
      <c r="B49" s="5" t="inlineStr">
        <is>
          <t>التكاليف والمصاريف الإدارية والفنية</t>
        </is>
      </c>
      <c r="C49" s="5" t="inlineStr">
        <is>
          <t>القيمة الإجمالية</t>
        </is>
      </c>
    </row>
    <row r="50">
      <c r="B50" s="2" t="inlineStr">
        <is>
          <t>مصاريف الاستشاري الهندسي</t>
        </is>
      </c>
      <c r="C50" s="6" t="n">
        <v>0</v>
      </c>
    </row>
    <row r="51">
      <c r="B51" s="2" t="inlineStr">
        <is>
          <t>مصاريف التصميم</t>
        </is>
      </c>
      <c r="C51" s="6" t="n">
        <v>0</v>
      </c>
    </row>
    <row r="52">
      <c r="B52" s="2" t="inlineStr">
        <is>
          <t>مصاريف المحاسب القانوني</t>
        </is>
      </c>
      <c r="C52" s="6" t="n">
        <v>0</v>
      </c>
    </row>
    <row r="53">
      <c r="B53" s="2" t="inlineStr">
        <is>
          <t>تكاليف الإشراف والمتابعة والعمولة</t>
        </is>
      </c>
      <c r="C53" s="6" t="n">
        <v>0</v>
      </c>
    </row>
    <row r="54">
      <c r="B54" s="2" t="inlineStr">
        <is>
          <t>تكاليف التسويق</t>
        </is>
      </c>
      <c r="C54" s="6" t="n">
        <v>0</v>
      </c>
    </row>
    <row r="55">
      <c r="B55" s="2" t="inlineStr">
        <is>
          <t>تكاليف إدارية وعمومية</t>
        </is>
      </c>
      <c r="C55" s="6" t="n">
        <v>0</v>
      </c>
    </row>
    <row r="56">
      <c r="B56" s="2" t="inlineStr">
        <is>
          <t>تكاليف الرواتب والأجور</t>
        </is>
      </c>
      <c r="C56" s="6" t="n">
        <v>0</v>
      </c>
    </row>
    <row r="57">
      <c r="B57" s="2" t="inlineStr">
        <is>
          <t>تكاليف التمويل (مرابحة + رسوم ترتيب)</t>
        </is>
      </c>
      <c r="C57" s="6">
        <f>T_Murabaha+T_LoanFeeOut</f>
        <v/>
      </c>
    </row>
    <row r="58">
      <c r="B58" s="2" t="inlineStr">
        <is>
          <t>تكاليف أخرى (تصاميم، إشراف، رسوم حكومية، تسويق - مجمعة)</t>
        </is>
      </c>
      <c r="C58" s="6">
        <f>OtherCost</f>
        <v/>
      </c>
    </row>
    <row r="59">
      <c r="B59" s="2" t="inlineStr">
        <is>
          <t>الاحتياطي وأتعاب المطور</t>
        </is>
      </c>
      <c r="C59" s="6">
        <f>ContCost+DevFee</f>
        <v/>
      </c>
    </row>
    <row r="60">
      <c r="B60" s="8" t="inlineStr">
        <is>
          <t>القيمة الإجمالية للتكاليف الإدارية والفنية</t>
        </is>
      </c>
      <c r="C60" s="9">
        <f>SUM(C50:C59)</f>
        <v/>
      </c>
    </row>
    <row r="62">
      <c r="B62" s="22" t="inlineStr">
        <is>
          <t>إجمالي قيمة التكاليف الاستثمارية المتوقعة</t>
        </is>
      </c>
      <c r="C62" s="23">
        <f>TotalInvest</f>
        <v/>
      </c>
    </row>
  </sheetData>
  <mergeCells count="1">
    <mergeCell ref="C14:G1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B1:G55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الدراسة المالية</t>
        </is>
      </c>
    </row>
    <row r="4">
      <c r="B4" s="4" t="inlineStr">
        <is>
          <t>الإيرادات المتوقعة</t>
        </is>
      </c>
      <c r="C4" s="4" t="n"/>
      <c r="D4" s="4" t="n"/>
      <c r="E4" s="4" t="n"/>
      <c r="F4" s="4" t="n"/>
      <c r="G4" s="4" t="n"/>
    </row>
    <row r="5">
      <c r="B5" s="5" t="inlineStr">
        <is>
          <t>نوع الوحدة</t>
        </is>
      </c>
      <c r="C5" s="5" t="inlineStr">
        <is>
          <t>المساحة المباعة م2</t>
        </is>
      </c>
      <c r="D5" s="5" t="inlineStr">
        <is>
          <t>عدد الوحدات</t>
        </is>
      </c>
      <c r="E5" s="5" t="inlineStr">
        <is>
          <t>متوسط سعر المتر</t>
        </is>
      </c>
      <c r="F5" s="5" t="inlineStr">
        <is>
          <t>متوسط سعر الوحدة</t>
        </is>
      </c>
      <c r="G5" s="5" t="inlineStr">
        <is>
          <t>القيمة الإجمالية</t>
        </is>
      </c>
    </row>
    <row r="6">
      <c r="B6" s="2" t="inlineStr">
        <is>
          <t>الوحدات السكنية - السنة الأولى</t>
        </is>
      </c>
      <c r="C6" s="6">
        <f>'الحسابات'!E32</f>
        <v/>
      </c>
      <c r="D6" s="19">
        <f>'الحسابات'!E33</f>
        <v/>
      </c>
      <c r="E6" s="6">
        <f>'الحسابات'!E34</f>
        <v/>
      </c>
      <c r="F6" s="6">
        <f>'الحسابات'!E35</f>
        <v/>
      </c>
      <c r="G6" s="6">
        <f>'الحسابات'!E36</f>
        <v/>
      </c>
    </row>
    <row r="7">
      <c r="B7" s="2" t="inlineStr">
        <is>
          <t>الوحدات السكنية - السنة الثانية</t>
        </is>
      </c>
      <c r="C7" s="6">
        <f>'الحسابات'!F32</f>
        <v/>
      </c>
      <c r="D7" s="19">
        <f>'الحسابات'!F33</f>
        <v/>
      </c>
      <c r="E7" s="6">
        <f>'الحسابات'!F34</f>
        <v/>
      </c>
      <c r="F7" s="6">
        <f>'الحسابات'!F35</f>
        <v/>
      </c>
      <c r="G7" s="6">
        <f>'الحسابات'!F36</f>
        <v/>
      </c>
    </row>
    <row r="8">
      <c r="B8" s="2" t="inlineStr">
        <is>
          <t>الوحدات السكنية - السنة الثالثة</t>
        </is>
      </c>
      <c r="C8" s="6">
        <f>'الحسابات'!G32</f>
        <v/>
      </c>
      <c r="D8" s="19">
        <f>'الحسابات'!G33</f>
        <v/>
      </c>
      <c r="E8" s="6">
        <f>'الحسابات'!G34</f>
        <v/>
      </c>
      <c r="F8" s="6">
        <f>'الحسابات'!G35</f>
        <v/>
      </c>
      <c r="G8" s="6">
        <f>'الحسابات'!G36</f>
        <v/>
      </c>
    </row>
    <row r="9">
      <c r="B9" s="8" t="inlineStr">
        <is>
          <t>إجمالي قيمة الإيرادات المتوقعة</t>
        </is>
      </c>
      <c r="C9" s="9">
        <f>'الحسابات'!C32</f>
        <v/>
      </c>
      <c r="D9" s="24">
        <f>'الحسابات'!C33</f>
        <v/>
      </c>
      <c r="E9" s="9">
        <f>'الحسابات'!C34</f>
        <v/>
      </c>
      <c r="F9" s="9">
        <f>'الحسابات'!C35</f>
        <v/>
      </c>
      <c r="G9" s="9">
        <f>'الحسابات'!C36</f>
        <v/>
      </c>
    </row>
    <row r="11">
      <c r="B11" s="4" t="inlineStr">
        <is>
          <t>الهيكل التمويلي</t>
        </is>
      </c>
      <c r="C11" s="4" t="n"/>
      <c r="D11" s="4" t="n"/>
      <c r="E11" s="4" t="n"/>
      <c r="F11" s="4" t="n"/>
      <c r="G11" s="4" t="n"/>
    </row>
    <row r="12">
      <c r="B12" s="5" t="inlineStr">
        <is>
          <t>العناصر</t>
        </is>
      </c>
      <c r="C12" s="5" t="inlineStr">
        <is>
          <t>القيمة الإجمالية</t>
        </is>
      </c>
      <c r="D12" s="5" t="inlineStr">
        <is>
          <t>النسبة المئوية</t>
        </is>
      </c>
      <c r="E12" s="5" t="inlineStr">
        <is>
          <t>المرحلة</t>
        </is>
      </c>
      <c r="F12" s="5" t="inlineStr">
        <is>
          <t>عدد الدفعات</t>
        </is>
      </c>
    </row>
    <row r="13">
      <c r="B13" s="2" t="inlineStr">
        <is>
          <t>حقوق الملكية (الملاك / المساهمين)</t>
        </is>
      </c>
      <c r="C13" s="6">
        <f>T_Equity</f>
        <v/>
      </c>
      <c r="D13" s="16">
        <f>IFERROR(C13/C16,0)</f>
        <v/>
      </c>
      <c r="E13" s="2" t="inlineStr">
        <is>
          <t>فترة التجهيزات (شراء الأرض)</t>
        </is>
      </c>
      <c r="F13" s="25">
        <f>COUNTIF('الحسابات'!D69:G69,"&gt;0")</f>
        <v/>
      </c>
    </row>
    <row r="14">
      <c r="B14" s="2" t="inlineStr">
        <is>
          <t>قروض (التمويل البنكي)</t>
        </is>
      </c>
      <c r="C14" s="6">
        <f>LoanAmount</f>
        <v/>
      </c>
      <c r="D14" s="16">
        <f>IFERROR(C14/C16,0)</f>
        <v/>
      </c>
      <c r="E14" s="2" t="inlineStr">
        <is>
          <t>السنة الأولى والثانية</t>
        </is>
      </c>
      <c r="F14" s="25">
        <f>COUNTIF('المدخلات'!D52:G52,"&gt;0")</f>
        <v/>
      </c>
    </row>
    <row r="15">
      <c r="B15" s="2" t="inlineStr">
        <is>
          <t>مشترين (متحصلات البيع على الخارطة)</t>
        </is>
      </c>
      <c r="C15" s="6">
        <f>BuyersFund</f>
        <v/>
      </c>
      <c r="D15" s="16">
        <f>IFERROR(C15/C16,0)</f>
        <v/>
      </c>
      <c r="E15" s="2" t="inlineStr">
        <is>
          <t>خلال فترة البناء</t>
        </is>
      </c>
      <c r="F15" s="26" t="n"/>
    </row>
    <row r="16">
      <c r="B16" s="8" t="inlineStr">
        <is>
          <t>إجمالي التمويل</t>
        </is>
      </c>
      <c r="C16" s="9">
        <f>SUM(C13:C15)</f>
        <v/>
      </c>
      <c r="D16" s="27">
        <f>SUM(D13:D15)</f>
        <v/>
      </c>
      <c r="E16" s="28" t="n"/>
      <c r="F16" s="28" t="n"/>
    </row>
    <row r="18">
      <c r="B18" s="4" t="inlineStr">
        <is>
          <t>قائمة الدخل (الأرباح والخسائر)</t>
        </is>
      </c>
      <c r="C18" s="4" t="n"/>
      <c r="D18" s="4" t="n"/>
      <c r="E18" s="4" t="n"/>
      <c r="F18" s="4" t="n"/>
      <c r="G18" s="4" t="n"/>
    </row>
    <row r="19">
      <c r="B19" s="5" t="inlineStr">
        <is>
          <t>البند</t>
        </is>
      </c>
      <c r="C19" s="5" t="inlineStr">
        <is>
          <t>فترة التجهيزات</t>
        </is>
      </c>
      <c r="D19" s="5" t="inlineStr">
        <is>
          <t>السنة الأولى</t>
        </is>
      </c>
      <c r="E19" s="5" t="inlineStr">
        <is>
          <t>السنة الثانية</t>
        </is>
      </c>
      <c r="F19" s="5" t="inlineStr">
        <is>
          <t>السنة الثالثة</t>
        </is>
      </c>
      <c r="G19" s="5" t="inlineStr">
        <is>
          <t>الإجمالي</t>
        </is>
      </c>
    </row>
    <row r="20">
      <c r="B20" s="8" t="inlineStr">
        <is>
          <t>إجمالي الإيرادات</t>
        </is>
      </c>
      <c r="C20" s="9">
        <f>'الحسابات'!D36</f>
        <v/>
      </c>
      <c r="D20" s="9">
        <f>'الحسابات'!E36</f>
        <v/>
      </c>
      <c r="E20" s="9">
        <f>'الحسابات'!F36</f>
        <v/>
      </c>
      <c r="F20" s="9">
        <f>'الحسابات'!G36</f>
        <v/>
      </c>
      <c r="G20" s="9">
        <f>'الحسابات'!C36</f>
        <v/>
      </c>
    </row>
    <row r="21">
      <c r="B21" s="2" t="inlineStr">
        <is>
          <t>تكاليف الأرض</t>
        </is>
      </c>
      <c r="C21" s="6">
        <f>-'الحسابات'!D53</f>
        <v/>
      </c>
      <c r="D21" s="6">
        <f>-'الحسابات'!E53</f>
        <v/>
      </c>
      <c r="E21" s="6">
        <f>-'الحسابات'!F53</f>
        <v/>
      </c>
      <c r="F21" s="6">
        <f>-'الحسابات'!G53</f>
        <v/>
      </c>
      <c r="G21" s="6">
        <f>-'الحسابات'!C53</f>
        <v/>
      </c>
    </row>
    <row r="22">
      <c r="B22" s="2" t="inlineStr">
        <is>
          <t>تكاليف المباني والإنشاءات</t>
        </is>
      </c>
      <c r="C22" s="6">
        <f>-'الحسابات'!D54</f>
        <v/>
      </c>
      <c r="D22" s="6">
        <f>-'الحسابات'!E54</f>
        <v/>
      </c>
      <c r="E22" s="6">
        <f>-'الحسابات'!F54</f>
        <v/>
      </c>
      <c r="F22" s="6">
        <f>-'الحسابات'!G54</f>
        <v/>
      </c>
      <c r="G22" s="6">
        <f>-'الحسابات'!C54</f>
        <v/>
      </c>
    </row>
    <row r="23">
      <c r="B23" s="2" t="inlineStr">
        <is>
          <t>تكاليف البنية التحتية والمرافق</t>
        </is>
      </c>
      <c r="C23" s="6">
        <f>-'الحسابات'!D55</f>
        <v/>
      </c>
      <c r="D23" s="6">
        <f>-'الحسابات'!E55</f>
        <v/>
      </c>
      <c r="E23" s="6">
        <f>-'الحسابات'!F55</f>
        <v/>
      </c>
      <c r="F23" s="6">
        <f>-'الحسابات'!G55</f>
        <v/>
      </c>
      <c r="G23" s="6">
        <f>-'الحسابات'!C55</f>
        <v/>
      </c>
    </row>
    <row r="24">
      <c r="B24" s="8" t="inlineStr">
        <is>
          <t>مجمل الربح</t>
        </is>
      </c>
      <c r="C24" s="9">
        <f>'الحسابات'!D56</f>
        <v/>
      </c>
      <c r="D24" s="9">
        <f>'الحسابات'!E56</f>
        <v/>
      </c>
      <c r="E24" s="9">
        <f>'الحسابات'!F56</f>
        <v/>
      </c>
      <c r="F24" s="9">
        <f>'الحسابات'!G56</f>
        <v/>
      </c>
      <c r="G24" s="9">
        <f>'الحسابات'!C56</f>
        <v/>
      </c>
    </row>
    <row r="25">
      <c r="B25" s="2" t="inlineStr">
        <is>
          <t>تكاليف أخرى (تصاميم، إشراف، رسوم حكومية، تسويق)</t>
        </is>
      </c>
      <c r="C25" s="6">
        <f>-'الحسابات'!D57</f>
        <v/>
      </c>
      <c r="D25" s="6">
        <f>-'الحسابات'!E57</f>
        <v/>
      </c>
      <c r="E25" s="6">
        <f>-'الحسابات'!F57</f>
        <v/>
      </c>
      <c r="F25" s="6">
        <f>-'الحسابات'!G57</f>
        <v/>
      </c>
      <c r="G25" s="6">
        <f>-'الحسابات'!C57</f>
        <v/>
      </c>
    </row>
    <row r="26">
      <c r="B26" s="2" t="inlineStr">
        <is>
          <t>الاحتياطي وأتعاب المطور</t>
        </is>
      </c>
      <c r="C26" s="6">
        <f>-'الحسابات'!D58</f>
        <v/>
      </c>
      <c r="D26" s="6">
        <f>-'الحسابات'!E58</f>
        <v/>
      </c>
      <c r="E26" s="6">
        <f>-'الحسابات'!F58</f>
        <v/>
      </c>
      <c r="F26" s="6">
        <f>-'الحسابات'!G58</f>
        <v/>
      </c>
      <c r="G26" s="6">
        <f>-'الحسابات'!C58</f>
        <v/>
      </c>
    </row>
    <row r="27">
      <c r="B27" s="8" t="inlineStr">
        <is>
          <t>صافي الربح قبل رسوم التمويل والزكاة</t>
        </is>
      </c>
      <c r="C27" s="9">
        <f>'الحسابات'!D59</f>
        <v/>
      </c>
      <c r="D27" s="9">
        <f>'الحسابات'!E59</f>
        <v/>
      </c>
      <c r="E27" s="9">
        <f>'الحسابات'!F59</f>
        <v/>
      </c>
      <c r="F27" s="9">
        <f>'الحسابات'!G59</f>
        <v/>
      </c>
      <c r="G27" s="9">
        <f>'الحسابات'!C59</f>
        <v/>
      </c>
    </row>
    <row r="28">
      <c r="B28" s="2" t="inlineStr">
        <is>
          <t>رسوم التمويل</t>
        </is>
      </c>
      <c r="C28" s="6">
        <f>-'الحسابات'!D60</f>
        <v/>
      </c>
      <c r="D28" s="6">
        <f>-'الحسابات'!E60</f>
        <v/>
      </c>
      <c r="E28" s="6">
        <f>-'الحسابات'!F60</f>
        <v/>
      </c>
      <c r="F28" s="6">
        <f>-'الحسابات'!G60</f>
        <v/>
      </c>
      <c r="G28" s="6">
        <f>-'الحسابات'!C60</f>
        <v/>
      </c>
    </row>
    <row r="29">
      <c r="B29" s="8" t="inlineStr">
        <is>
          <t>صافي الربح قبل الزكاة أو الضريبة</t>
        </is>
      </c>
      <c r="C29" s="9">
        <f>'الحسابات'!D61</f>
        <v/>
      </c>
      <c r="D29" s="9">
        <f>'الحسابات'!E61</f>
        <v/>
      </c>
      <c r="E29" s="9">
        <f>'الحسابات'!F61</f>
        <v/>
      </c>
      <c r="F29" s="9">
        <f>'الحسابات'!G61</f>
        <v/>
      </c>
      <c r="G29" s="9">
        <f>'الحسابات'!C61</f>
        <v/>
      </c>
    </row>
    <row r="30">
      <c r="B30" s="2" t="inlineStr">
        <is>
          <t>الزكاة أو الضريبة</t>
        </is>
      </c>
      <c r="C30" s="6">
        <f>-'الحسابات'!D62</f>
        <v/>
      </c>
      <c r="D30" s="6">
        <f>-'الحسابات'!E62</f>
        <v/>
      </c>
      <c r="E30" s="6">
        <f>-'الحسابات'!F62</f>
        <v/>
      </c>
      <c r="F30" s="6">
        <f>-'الحسابات'!G62</f>
        <v/>
      </c>
      <c r="G30" s="6">
        <f>-'الحسابات'!C62</f>
        <v/>
      </c>
    </row>
    <row r="31">
      <c r="B31" s="8" t="inlineStr">
        <is>
          <t>صافي الربح أو الخسارة</t>
        </is>
      </c>
      <c r="C31" s="9">
        <f>'الحسابات'!D63</f>
        <v/>
      </c>
      <c r="D31" s="9">
        <f>'الحسابات'!E63</f>
        <v/>
      </c>
      <c r="E31" s="9">
        <f>'الحسابات'!F63</f>
        <v/>
      </c>
      <c r="F31" s="9">
        <f>'الحسابات'!G63</f>
        <v/>
      </c>
      <c r="G31" s="9">
        <f>'الحسابات'!C63</f>
        <v/>
      </c>
    </row>
    <row r="32">
      <c r="B32" s="8" t="inlineStr">
        <is>
          <t>نسبة صافي الربح أو الخسارة</t>
        </is>
      </c>
      <c r="C32" s="27">
        <f>IFERROR('الحسابات'!D63/'الحسابات'!D36,0)</f>
        <v/>
      </c>
      <c r="D32" s="27">
        <f>IFERROR('الحسابات'!E63/'الحسابات'!E36,0)</f>
        <v/>
      </c>
      <c r="E32" s="27">
        <f>IFERROR('الحسابات'!F63/'الحسابات'!F36,0)</f>
        <v/>
      </c>
      <c r="F32" s="27">
        <f>IFERROR('الحسابات'!G63/'الحسابات'!G36,0)</f>
        <v/>
      </c>
      <c r="G32" s="27">
        <f>IFERROR('الحسابات'!C63/'الحسابات'!C36,0)</f>
        <v/>
      </c>
    </row>
    <row r="33">
      <c r="B33" s="15" t="inlineStr">
        <is>
          <t>* الإيراد يُعترف به في سنة البيع، وتُحمّل تكاليف الأرض والبناء بنسبة المبيعات (مبدأ المقابلة)؛ تكاليف التمويل حسب حدوثها.</t>
        </is>
      </c>
    </row>
    <row r="35">
      <c r="B35" s="4" t="inlineStr">
        <is>
          <t>قائمة التدفقات النقدية</t>
        </is>
      </c>
      <c r="C35" s="4" t="n"/>
      <c r="D35" s="4" t="n"/>
      <c r="E35" s="4" t="n"/>
      <c r="F35" s="4" t="n"/>
      <c r="G35" s="4" t="n"/>
    </row>
    <row r="36">
      <c r="B36" s="5" t="inlineStr">
        <is>
          <t>البند</t>
        </is>
      </c>
      <c r="C36" s="5" t="inlineStr">
        <is>
          <t>فترة التجهيزات</t>
        </is>
      </c>
      <c r="D36" s="5" t="inlineStr">
        <is>
          <t>السنة الأولى</t>
        </is>
      </c>
      <c r="E36" s="5" t="inlineStr">
        <is>
          <t>السنة الثانية</t>
        </is>
      </c>
      <c r="F36" s="5" t="inlineStr">
        <is>
          <t>السنة الثالثة</t>
        </is>
      </c>
      <c r="G36" s="5" t="inlineStr">
        <is>
          <t>الإجمالي</t>
        </is>
      </c>
    </row>
    <row r="37">
      <c r="B37" s="8" t="inlineStr">
        <is>
          <t>التدفقات النقدية الداخلة</t>
        </is>
      </c>
      <c r="C37" s="9" t="n"/>
      <c r="D37" s="9" t="n"/>
      <c r="E37" s="9" t="n"/>
      <c r="F37" s="9" t="n"/>
      <c r="G37" s="9" t="n"/>
    </row>
    <row r="38">
      <c r="B38" s="2" t="inlineStr">
        <is>
          <t>المبيعات - الوحدات السكنية</t>
        </is>
      </c>
      <c r="C38" s="6">
        <f>'الحسابات'!D36</f>
        <v/>
      </c>
      <c r="D38" s="6">
        <f>'الحسابات'!E36</f>
        <v/>
      </c>
      <c r="E38" s="6">
        <f>'الحسابات'!F36</f>
        <v/>
      </c>
      <c r="F38" s="6">
        <f>'الحسابات'!G36</f>
        <v/>
      </c>
      <c r="G38" s="6">
        <f>'الحسابات'!C36</f>
        <v/>
      </c>
    </row>
    <row r="39">
      <c r="B39" s="8" t="inlineStr">
        <is>
          <t>إجمالي التدفقات النقدية الداخلة</t>
        </is>
      </c>
      <c r="C39" s="9">
        <f>'الحسابات'!D36</f>
        <v/>
      </c>
      <c r="D39" s="9">
        <f>'الحسابات'!E36</f>
        <v/>
      </c>
      <c r="E39" s="9">
        <f>'الحسابات'!F36</f>
        <v/>
      </c>
      <c r="F39" s="9">
        <f>'الحسابات'!G36</f>
        <v/>
      </c>
      <c r="G39" s="9">
        <f>'الحسابات'!C36</f>
        <v/>
      </c>
    </row>
    <row r="40">
      <c r="B40" s="8" t="inlineStr">
        <is>
          <t>التدفقات النقدية الخارجة</t>
        </is>
      </c>
      <c r="C40" s="9" t="n"/>
      <c r="D40" s="9" t="n"/>
      <c r="E40" s="9" t="n"/>
      <c r="F40" s="9" t="n"/>
      <c r="G40" s="9" t="n"/>
    </row>
    <row r="41">
      <c r="B41" s="2" t="inlineStr">
        <is>
          <t>تكاليف الأرض</t>
        </is>
      </c>
      <c r="C41" s="6">
        <f>-'الحسابات'!D38</f>
        <v/>
      </c>
      <c r="D41" s="6">
        <f>-'الحسابات'!E38</f>
        <v/>
      </c>
      <c r="E41" s="6">
        <f>-'الحسابات'!F38</f>
        <v/>
      </c>
      <c r="F41" s="6">
        <f>-'الحسابات'!G38</f>
        <v/>
      </c>
      <c r="G41" s="6">
        <f>-'الحسابات'!C38</f>
        <v/>
      </c>
    </row>
    <row r="42">
      <c r="B42" s="2" t="inlineStr">
        <is>
          <t>تكاليف المباني والإنشاءات</t>
        </is>
      </c>
      <c r="C42" s="6">
        <f>-'الحسابات'!D39</f>
        <v/>
      </c>
      <c r="D42" s="6">
        <f>-'الحسابات'!E39</f>
        <v/>
      </c>
      <c r="E42" s="6">
        <f>-'الحسابات'!F39</f>
        <v/>
      </c>
      <c r="F42" s="6">
        <f>-'الحسابات'!G39</f>
        <v/>
      </c>
      <c r="G42" s="6">
        <f>-'الحسابات'!C39</f>
        <v/>
      </c>
    </row>
    <row r="43">
      <c r="B43" s="2" t="inlineStr">
        <is>
          <t>تكاليف البنية التحتية والمرافق</t>
        </is>
      </c>
      <c r="C43" s="6">
        <f>-'الحسابات'!D40</f>
        <v/>
      </c>
      <c r="D43" s="6">
        <f>-'الحسابات'!E40</f>
        <v/>
      </c>
      <c r="E43" s="6">
        <f>-'الحسابات'!F40</f>
        <v/>
      </c>
      <c r="F43" s="6">
        <f>-'الحسابات'!G40</f>
        <v/>
      </c>
      <c r="G43" s="6">
        <f>-'الحسابات'!C40</f>
        <v/>
      </c>
    </row>
    <row r="44">
      <c r="B44" s="2" t="inlineStr">
        <is>
          <t>تكاليف أخرى (تصاميم، إشراف، رسوم حكومية، تسويق)</t>
        </is>
      </c>
      <c r="C44" s="6">
        <f>-'الحسابات'!D41</f>
        <v/>
      </c>
      <c r="D44" s="6">
        <f>-'الحسابات'!E41</f>
        <v/>
      </c>
      <c r="E44" s="6">
        <f>-'الحسابات'!F41</f>
        <v/>
      </c>
      <c r="F44" s="6">
        <f>-'الحسابات'!G41</f>
        <v/>
      </c>
      <c r="G44" s="6">
        <f>-'الحسابات'!C41</f>
        <v/>
      </c>
    </row>
    <row r="45">
      <c r="B45" s="2" t="inlineStr">
        <is>
          <t>الاحتياطي وأتعاب المطور</t>
        </is>
      </c>
      <c r="C45" s="6">
        <f>'الحسابات'!D42*-1-'الحسابات'!D43</f>
        <v/>
      </c>
      <c r="D45" s="6">
        <f>'الحسابات'!E42*-1-'الحسابات'!E43</f>
        <v/>
      </c>
      <c r="E45" s="6">
        <f>'الحسابات'!F42*-1-'الحسابات'!F43</f>
        <v/>
      </c>
      <c r="F45" s="6">
        <f>'الحسابات'!G42*-1-'الحسابات'!G43</f>
        <v/>
      </c>
      <c r="G45" s="6">
        <f>'الحسابات'!C42*-1-'الحسابات'!C43</f>
        <v/>
      </c>
    </row>
    <row r="46">
      <c r="B46" s="2" t="inlineStr">
        <is>
          <t>رسوم التمويل (مرابحة + ترتيب)</t>
        </is>
      </c>
      <c r="C46" s="6">
        <f>'الحسابات'!D49*-1-'الحسابات'!D50</f>
        <v/>
      </c>
      <c r="D46" s="6">
        <f>'الحسابات'!E49*-1-'الحسابات'!E50</f>
        <v/>
      </c>
      <c r="E46" s="6">
        <f>'الحسابات'!F49*-1-'الحسابات'!F50</f>
        <v/>
      </c>
      <c r="F46" s="6">
        <f>'الحسابات'!G49*-1-'الحسابات'!G50</f>
        <v/>
      </c>
      <c r="G46" s="6">
        <f>'الحسابات'!C49*-1-'الحسابات'!C50</f>
        <v/>
      </c>
    </row>
    <row r="47">
      <c r="B47" s="2" t="inlineStr">
        <is>
          <t>الزكاة أو الضريبة</t>
        </is>
      </c>
      <c r="C47" s="6">
        <f>-'الحسابات'!D62</f>
        <v/>
      </c>
      <c r="D47" s="6">
        <f>-'الحسابات'!E62</f>
        <v/>
      </c>
      <c r="E47" s="6">
        <f>-'الحسابات'!F62</f>
        <v/>
      </c>
      <c r="F47" s="6">
        <f>-'الحسابات'!G62</f>
        <v/>
      </c>
      <c r="G47" s="6">
        <f>-'الحسابات'!C62</f>
        <v/>
      </c>
    </row>
    <row r="48">
      <c r="B48" s="2" t="inlineStr">
        <is>
          <t>إجمالي التدفقات النقدية الخارجة</t>
        </is>
      </c>
      <c r="C48" s="6">
        <f>-'الحسابات'!D65</f>
        <v/>
      </c>
      <c r="D48" s="6">
        <f>-'الحسابات'!E65</f>
        <v/>
      </c>
      <c r="E48" s="6">
        <f>-'الحسابات'!F65</f>
        <v/>
      </c>
      <c r="F48" s="6">
        <f>-'الحسابات'!G65</f>
        <v/>
      </c>
      <c r="G48" s="6">
        <f>-'الحسابات'!C65</f>
        <v/>
      </c>
    </row>
    <row r="49">
      <c r="B49" s="8" t="inlineStr">
        <is>
          <t>صافي التدفق النقدي التشغيلي</t>
        </is>
      </c>
      <c r="C49" s="9">
        <f>'الحسابات'!D66</f>
        <v/>
      </c>
      <c r="D49" s="9">
        <f>'الحسابات'!E66</f>
        <v/>
      </c>
      <c r="E49" s="9">
        <f>'الحسابات'!F66</f>
        <v/>
      </c>
      <c r="F49" s="9">
        <f>'الحسابات'!G66</f>
        <v/>
      </c>
      <c r="G49" s="9">
        <f>'الحسابات'!C66</f>
        <v/>
      </c>
    </row>
    <row r="50">
      <c r="B50" s="8" t="inlineStr">
        <is>
          <t>التدفقات التمويلية</t>
        </is>
      </c>
      <c r="C50" s="9" t="n"/>
      <c r="D50" s="9" t="n"/>
      <c r="E50" s="9" t="n"/>
      <c r="F50" s="9" t="n"/>
      <c r="G50" s="9" t="n"/>
    </row>
    <row r="51">
      <c r="B51" s="2" t="inlineStr">
        <is>
          <t>سحب التمويل البنكي</t>
        </is>
      </c>
      <c r="C51" s="6">
        <f>'الحسابات'!D46</f>
        <v/>
      </c>
      <c r="D51" s="6">
        <f>'الحسابات'!E46</f>
        <v/>
      </c>
      <c r="E51" s="6">
        <f>'الحسابات'!F46</f>
        <v/>
      </c>
      <c r="F51" s="6">
        <f>'الحسابات'!G46</f>
        <v/>
      </c>
      <c r="G51" s="6">
        <f>'الحسابات'!C46</f>
        <v/>
      </c>
    </row>
    <row r="52">
      <c r="B52" s="2" t="inlineStr">
        <is>
          <t>سداد التمويل البنكي</t>
        </is>
      </c>
      <c r="C52" s="6">
        <f>-'الحسابات'!D47</f>
        <v/>
      </c>
      <c r="D52" s="6">
        <f>-'الحسابات'!E47</f>
        <v/>
      </c>
      <c r="E52" s="6">
        <f>-'الحسابات'!F47</f>
        <v/>
      </c>
      <c r="F52" s="6">
        <f>-'الحسابات'!G47</f>
        <v/>
      </c>
      <c r="G52" s="6">
        <f>-'الحسابات'!C47</f>
        <v/>
      </c>
    </row>
    <row r="53">
      <c r="B53" s="2" t="inlineStr">
        <is>
          <t>ضخ الملاك / المساهمين</t>
        </is>
      </c>
      <c r="C53" s="6">
        <f>'الحسابات'!D69</f>
        <v/>
      </c>
      <c r="D53" s="6">
        <f>'الحسابات'!E69</f>
        <v/>
      </c>
      <c r="E53" s="6">
        <f>'الحسابات'!F69</f>
        <v/>
      </c>
      <c r="F53" s="6">
        <f>'الحسابات'!G69</f>
        <v/>
      </c>
      <c r="G53" s="6">
        <f>'الحسابات'!C69</f>
        <v/>
      </c>
    </row>
    <row r="54">
      <c r="B54" s="2" t="inlineStr">
        <is>
          <t>صافي رصيد النقدية في بداية الفترة</t>
        </is>
      </c>
      <c r="C54" s="6">
        <f>'الحسابات'!D68</f>
        <v/>
      </c>
      <c r="D54" s="6">
        <f>'الحسابات'!E68</f>
        <v/>
      </c>
      <c r="E54" s="6">
        <f>'الحسابات'!F68</f>
        <v/>
      </c>
      <c r="F54" s="6">
        <f>'الحسابات'!G68</f>
        <v/>
      </c>
      <c r="G54" s="6" t="n"/>
    </row>
    <row r="55">
      <c r="B55" s="8" t="inlineStr">
        <is>
          <t>صافي رصيد النقدية في نهاية الفترة</t>
        </is>
      </c>
      <c r="C55" s="9">
        <f>'الحسابات'!D70</f>
        <v/>
      </c>
      <c r="D55" s="9">
        <f>'الحسابات'!E70</f>
        <v/>
      </c>
      <c r="E55" s="9">
        <f>'الحسابات'!F70</f>
        <v/>
      </c>
      <c r="F55" s="9">
        <f>'الحسابات'!G70</f>
        <v/>
      </c>
      <c r="G55" s="9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F7C74"/>
    <outlinePr summaryBelow="1" summaryRight="1"/>
    <pageSetUpPr fitToPage="1"/>
  </sheetPr>
  <dimension ref="B1:G23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نتائج وتوصيات الدراسة</t>
        </is>
      </c>
    </row>
    <row r="4">
      <c r="B4" s="4" t="inlineStr">
        <is>
          <t>النتائج التقديرية للمشروع</t>
        </is>
      </c>
      <c r="C4" s="4" t="n"/>
    </row>
    <row r="5">
      <c r="B5" s="5" t="inlineStr">
        <is>
          <t>البند</t>
        </is>
      </c>
      <c r="C5" s="5" t="inlineStr">
        <is>
          <t>القيمة</t>
        </is>
      </c>
    </row>
    <row r="6">
      <c r="B6" s="2" t="inlineStr">
        <is>
          <t>إجمالي الإيرادات - القيمة الإجمالية للإيرادات المتوقعة (ريال)</t>
        </is>
      </c>
      <c r="C6" s="11">
        <f>T_Revenue</f>
        <v/>
      </c>
    </row>
    <row r="7">
      <c r="B7" s="2" t="inlineStr">
        <is>
          <t>إجمالي التكاليف - القيمة الإجمالية للتكاليف (ريال)</t>
        </is>
      </c>
      <c r="C7" s="11">
        <f>TotalInvest+T_Zakat</f>
        <v/>
      </c>
    </row>
    <row r="8">
      <c r="B8" s="2" t="inlineStr">
        <is>
          <t>صافي الأرباح - القيمة الإجمالية لصافي الأرباح (ريال)</t>
        </is>
      </c>
      <c r="C8" s="11">
        <f>T_NetProfit</f>
        <v/>
      </c>
    </row>
    <row r="9">
      <c r="B9" s="2" t="inlineStr">
        <is>
          <t>رأس مال الملاك المطلوب (ريال)</t>
        </is>
      </c>
      <c r="C9" s="11">
        <f>T_Equity</f>
        <v/>
      </c>
    </row>
    <row r="10">
      <c r="B10" s="2" t="inlineStr">
        <is>
          <t>العائد الكلي على رأس المال</t>
        </is>
      </c>
      <c r="C10" s="12">
        <f>ROI_Total</f>
        <v/>
      </c>
    </row>
    <row r="11">
      <c r="B11" s="2" t="inlineStr">
        <is>
          <t>معدل العائد على الاستثمار ROI (سنوي)</t>
        </is>
      </c>
      <c r="C11" s="12">
        <f>ROI</f>
        <v/>
      </c>
    </row>
    <row r="12">
      <c r="B12" s="2" t="inlineStr">
        <is>
          <t>معدل العائد الداخلي IRR (التطوير)*</t>
        </is>
      </c>
      <c r="C12" s="12">
        <f>IRR</f>
        <v/>
      </c>
    </row>
    <row r="13">
      <c r="B13" s="2" t="inlineStr">
        <is>
          <t>هامش صافي الربح من المبيعات</t>
        </is>
      </c>
      <c r="C13" s="12">
        <f>MarginSales</f>
        <v/>
      </c>
    </row>
    <row r="14">
      <c r="B14" s="2" t="inlineStr">
        <is>
          <t>متوسط تكلفة الوحدة (ريال)</t>
        </is>
      </c>
      <c r="C14" s="11">
        <f>CostPerUnit</f>
        <v/>
      </c>
    </row>
    <row r="15">
      <c r="B15" s="2" t="inlineStr">
        <is>
          <t>متوسط سعر بيع الوحدة (ريال)</t>
        </is>
      </c>
      <c r="C15" s="11">
        <f>'الحسابات'!C35</f>
        <v/>
      </c>
    </row>
    <row r="16">
      <c r="B16" s="2" t="inlineStr">
        <is>
          <t>نسبة المرابحة البنكية (للمقارنة)</t>
        </is>
      </c>
      <c r="C16" s="12">
        <f>MurabahaRate</f>
        <v/>
      </c>
    </row>
    <row r="17">
      <c r="B17" s="15" t="inlineStr">
        <is>
          <t>* يقارن معدل العائد الداخلي بسعر الفائدة السائد (مع افتراض ثبات باقي العوامل الأخرى).</t>
        </is>
      </c>
    </row>
    <row r="19">
      <c r="B19" s="4" t="inlineStr">
        <is>
          <t>التوصيات</t>
        </is>
      </c>
      <c r="C19" s="4" t="n"/>
      <c r="D19" s="4" t="n"/>
      <c r="E19" s="4" t="n"/>
      <c r="F19" s="4" t="n"/>
      <c r="G19" s="4" t="n"/>
    </row>
    <row r="20" ht="48" customHeight="1">
      <c r="B20" s="21">
        <f>IF(IRR&gt;MurabahaRate,"المشروع مجدٍ مالياً: معدل العائد الداخلي ("&amp;TEXT(IRR,"0.0%")&amp;") أعلى من تكلفة التمويل ("&amp;TEXT(MurabahaRate,"0.0%")&amp;")، وصافي الربح المتوقع "&amp;TEXT(T_NetProfit,"#,##0")&amp;" ريال بعائد سنوي "&amp;TEXT(ROI,"0.0%")&amp;" على رأس مال الملاك.","المشروع غير مجدٍ بالافتراضات الحالية: معدل العائد الداخلي أقل من تكلفة التمويل.")</f>
        <v/>
      </c>
    </row>
    <row r="21" ht="40" customHeight="1">
      <c r="B21" s="8" t="inlineStr">
        <is>
          <t>التوصيات السوقية</t>
        </is>
      </c>
      <c r="C21" s="13" t="n"/>
    </row>
    <row r="22" ht="40" customHeight="1">
      <c r="B22" s="8" t="inlineStr">
        <is>
          <t>التوصيات الفنية</t>
        </is>
      </c>
      <c r="C22" s="13" t="n"/>
    </row>
    <row r="23" ht="40" customHeight="1">
      <c r="B23" s="8" t="inlineStr">
        <is>
          <t>التوصيات المالية</t>
        </is>
      </c>
      <c r="C23" s="13" t="n"/>
    </row>
  </sheetData>
  <mergeCells count="4">
    <mergeCell ref="C22:G22"/>
    <mergeCell ref="B20:G20"/>
    <mergeCell ref="C21:G21"/>
    <mergeCell ref="C23:G2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G55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B1" s="1" t="inlineStr">
        <is>
          <t>المدخلات والافتراضات</t>
        </is>
      </c>
    </row>
    <row r="2">
      <c r="B2" s="15" t="inlineStr">
        <is>
          <t>المصدر: نموذج ارض العليا - بتاريخ 11-08-2026 | الأزرق = مدخل رقمي، الأصفر = مطلوب من العميل</t>
        </is>
      </c>
    </row>
    <row r="4">
      <c r="B4" s="4" t="inlineStr">
        <is>
          <t>أولاً | بيانات المشروع (نصية)</t>
        </is>
      </c>
      <c r="C4" s="4" t="n"/>
    </row>
    <row r="5">
      <c r="B5" s="2" t="inlineStr">
        <is>
          <t>اسم المشروع</t>
        </is>
      </c>
      <c r="C5" s="29" t="inlineStr">
        <is>
          <t>مشروع أرض العليا - شقق سكنية</t>
        </is>
      </c>
    </row>
    <row r="6">
      <c r="B6" s="2" t="inlineStr">
        <is>
          <t>عنوان الدراسة</t>
        </is>
      </c>
      <c r="C6" s="29" t="inlineStr">
        <is>
          <t>دراسة جدوى مشروع شقق سكنية للبيع على الخارطة</t>
        </is>
      </c>
    </row>
    <row r="7">
      <c r="B7" s="2" t="inlineStr">
        <is>
          <t>المدينة</t>
        </is>
      </c>
      <c r="C7" s="30" t="n"/>
    </row>
    <row r="8">
      <c r="B8" s="2" t="inlineStr">
        <is>
          <t>الحي</t>
        </is>
      </c>
      <c r="C8" s="29" t="inlineStr">
        <is>
          <t>العليا</t>
        </is>
      </c>
    </row>
    <row r="9">
      <c r="B9" s="2" t="inlineStr">
        <is>
          <t>الشوارع الرئيسية</t>
        </is>
      </c>
      <c r="C9" s="30" t="n"/>
    </row>
    <row r="10">
      <c r="B10" s="2" t="inlineStr">
        <is>
          <t>رقم الصك</t>
        </is>
      </c>
      <c r="C10" s="30" t="n"/>
    </row>
    <row r="11">
      <c r="B11" s="2" t="inlineStr">
        <is>
          <t>نطاق الموقع</t>
        </is>
      </c>
      <c r="C11" s="30" t="n"/>
    </row>
    <row r="12">
      <c r="B12" s="2" t="inlineStr">
        <is>
          <t>الاستخدامات</t>
        </is>
      </c>
      <c r="C12" s="29" t="inlineStr">
        <is>
          <t>سكني</t>
        </is>
      </c>
    </row>
    <row r="13">
      <c r="B13" s="2" t="inlineStr">
        <is>
          <t>المطور العقاري</t>
        </is>
      </c>
      <c r="C13" s="30" t="n"/>
    </row>
    <row r="14">
      <c r="B14" s="2" t="inlineStr">
        <is>
          <t>المستشار الهندسي الرئيسي</t>
        </is>
      </c>
      <c r="C14" s="30" t="n"/>
    </row>
    <row r="15">
      <c r="B15" s="2" t="inlineStr">
        <is>
          <t>المحاسب القانوني</t>
        </is>
      </c>
      <c r="C15" s="30" t="n"/>
    </row>
    <row r="16">
      <c r="B16" s="2" t="inlineStr">
        <is>
          <t>التاريخ المتوقع لبداية المشروع</t>
        </is>
      </c>
      <c r="C16" s="30" t="n"/>
    </row>
    <row r="17">
      <c r="B17" s="2" t="inlineStr">
        <is>
          <t>التاريخ المتوقع لانتهاء المشروع</t>
        </is>
      </c>
      <c r="C17" s="30" t="n"/>
    </row>
    <row r="18">
      <c r="B18" s="2" t="inlineStr">
        <is>
          <t>التاريخ المتوقع لتسليم الوحدات</t>
        </is>
      </c>
      <c r="C18" s="30" t="n"/>
    </row>
    <row r="20">
      <c r="B20" s="4" t="inlineStr">
        <is>
          <t>ثانياً | الافتراضات الرقمية</t>
        </is>
      </c>
      <c r="C20" s="4" t="n"/>
    </row>
    <row r="21">
      <c r="B21" s="31" t="inlineStr">
        <is>
          <t>وصف المشروع والمساحات</t>
        </is>
      </c>
      <c r="C21" s="32" t="n"/>
    </row>
    <row r="22">
      <c r="B22" s="2" t="inlineStr">
        <is>
          <t>مساحة أرض المشروع (م2)</t>
        </is>
      </c>
      <c r="C22" s="33" t="n">
        <v>3000</v>
      </c>
    </row>
    <row r="23">
      <c r="B23" s="2" t="inlineStr">
        <is>
          <t>نسبة البناء على الأرض</t>
        </is>
      </c>
      <c r="C23" s="34" t="n">
        <v>0.5</v>
      </c>
    </row>
    <row r="24">
      <c r="B24" s="2" t="inlineStr">
        <is>
          <t>معامل البناء</t>
        </is>
      </c>
      <c r="C24" s="35" t="n">
        <v>2.37166666666667</v>
      </c>
    </row>
    <row r="25">
      <c r="B25" s="2" t="inlineStr">
        <is>
          <t>نسبة المساحة الصافية (القابلة للبيع)</t>
        </is>
      </c>
      <c r="C25" s="34" t="n">
        <v>0.85</v>
      </c>
    </row>
    <row r="26">
      <c r="B26" s="2" t="inlineStr">
        <is>
          <t>متوسط مساحة الوحدة (م2)</t>
        </is>
      </c>
      <c r="C26" s="33" t="n">
        <v>250</v>
      </c>
    </row>
    <row r="27">
      <c r="B27" s="2" t="inlineStr">
        <is>
          <t>متطلبات المواقف لكل وحدة</t>
        </is>
      </c>
      <c r="C27" s="36" t="n">
        <v>5</v>
      </c>
    </row>
    <row r="28">
      <c r="B28" s="2" t="inlineStr">
        <is>
          <t>متوسط مساحة الموقف بالقبو (م2)</t>
        </is>
      </c>
      <c r="C28" s="33" t="n">
        <v>25</v>
      </c>
    </row>
    <row r="29">
      <c r="B29" s="31" t="inlineStr">
        <is>
          <t>تكاليف الأرض</t>
        </is>
      </c>
      <c r="C29" s="32" t="n"/>
    </row>
    <row r="30">
      <c r="B30" s="2" t="inlineStr">
        <is>
          <t>سعر شراء متر الأرض (ريال)</t>
        </is>
      </c>
      <c r="C30" s="33" t="n">
        <v>3200</v>
      </c>
    </row>
    <row r="31">
      <c r="B31" s="2" t="inlineStr">
        <is>
          <t>السعي والضريبة (% من قيمة الأرض)</t>
        </is>
      </c>
      <c r="C31" s="34" t="n">
        <v>0.075</v>
      </c>
    </row>
    <row r="32">
      <c r="B32" s="31" t="inlineStr">
        <is>
          <t>تكاليف البناء</t>
        </is>
      </c>
      <c r="C32" s="32" t="n"/>
    </row>
    <row r="33">
      <c r="B33" s="2" t="inlineStr">
        <is>
          <t>تكلفة بناء المتر - السكني (ريال)</t>
        </is>
      </c>
      <c r="C33" s="33" t="n">
        <v>1500</v>
      </c>
    </row>
    <row r="34">
      <c r="B34" s="2" t="inlineStr">
        <is>
          <t>تكلفة بناء المتر - القبو والمواقف (ريال)</t>
        </is>
      </c>
      <c r="C34" s="33" t="n">
        <v>600</v>
      </c>
    </row>
    <row r="35">
      <c r="B35" s="2" t="inlineStr">
        <is>
          <t>التكاليف الأخرى: تصاميم، إشراف، رسوم حكومية، تسويق (% من التكاليف المباشرة)</t>
        </is>
      </c>
      <c r="C35" s="34" t="n">
        <v>0.02</v>
      </c>
    </row>
    <row r="36">
      <c r="B36" s="2" t="inlineStr">
        <is>
          <t>الاحتياطي (% من التكاليف المباشرة)</t>
        </is>
      </c>
      <c r="C36" s="34" t="n">
        <v>0</v>
      </c>
    </row>
    <row r="37">
      <c r="B37" s="2" t="inlineStr">
        <is>
          <t>أتعاب المطور (% من التكاليف المباشرة)</t>
        </is>
      </c>
      <c r="C37" s="34" t="n">
        <v>0</v>
      </c>
    </row>
    <row r="38">
      <c r="B38" s="31" t="inlineStr">
        <is>
          <t>التمويل البنكي</t>
        </is>
      </c>
      <c r="C38" s="32" t="n"/>
    </row>
    <row r="39">
      <c r="B39" s="2" t="inlineStr">
        <is>
          <t>مبلغ التمويل البنكي (ريال)</t>
        </is>
      </c>
      <c r="C39" s="33" t="n">
        <v>8700000</v>
      </c>
    </row>
    <row r="40">
      <c r="B40" s="2" t="inlineStr">
        <is>
          <t>نسبة المرابحة السنوية</t>
        </is>
      </c>
      <c r="C40" s="34" t="n">
        <v>0.07000000000000001</v>
      </c>
    </row>
    <row r="41">
      <c r="B41" s="2" t="inlineStr">
        <is>
          <t>رسوم ترتيب التمويل</t>
        </is>
      </c>
      <c r="C41" s="34" t="n">
        <v>0.01</v>
      </c>
    </row>
    <row r="42">
      <c r="B42" s="31" t="inlineStr">
        <is>
          <t>أخرى</t>
        </is>
      </c>
      <c r="C42" s="32" t="n"/>
    </row>
    <row r="43">
      <c r="B43" s="2" t="inlineStr">
        <is>
          <t>مدة المشروع (شهر)</t>
        </is>
      </c>
      <c r="C43" s="33" t="n">
        <v>22</v>
      </c>
    </row>
    <row r="44">
      <c r="B44" s="2" t="inlineStr">
        <is>
          <t>نسبة الزكاة / الضريبة على صافي الربح</t>
        </is>
      </c>
      <c r="C44" s="34" t="n">
        <v>0</v>
      </c>
    </row>
    <row r="46">
      <c r="B46" s="4" t="inlineStr">
        <is>
          <t>ثالثاً | الجداول الزمنية (نسب التوزيع على الفترات)</t>
        </is>
      </c>
      <c r="C46" s="4" t="n"/>
      <c r="D46" s="4" t="n"/>
      <c r="E46" s="4" t="n"/>
      <c r="F46" s="4" t="n"/>
      <c r="G46" s="4" t="n"/>
    </row>
    <row r="47">
      <c r="B47" s="5" t="inlineStr">
        <is>
          <t>البند</t>
        </is>
      </c>
      <c r="C47" s="5" t="inlineStr">
        <is>
          <t>الإجمالي</t>
        </is>
      </c>
      <c r="D47" s="5" t="inlineStr">
        <is>
          <t>فترة التجهيزات</t>
        </is>
      </c>
      <c r="E47" s="5" t="inlineStr">
        <is>
          <t>السنة الأولى</t>
        </is>
      </c>
      <c r="F47" s="5" t="inlineStr">
        <is>
          <t>السنة الثانية</t>
        </is>
      </c>
      <c r="G47" s="5" t="inlineStr">
        <is>
          <t>السنة الثالثة</t>
        </is>
      </c>
    </row>
    <row r="48">
      <c r="B48" s="2" t="inlineStr">
        <is>
          <t>نسبة سداد تكلفة الأرض</t>
        </is>
      </c>
      <c r="C48" s="12">
        <f>SUM(D48:G48)</f>
        <v/>
      </c>
      <c r="D48" s="34" t="n">
        <v>1</v>
      </c>
      <c r="E48" s="34" t="n">
        <v>0</v>
      </c>
      <c r="F48" s="34" t="n">
        <v>0</v>
      </c>
      <c r="G48" s="34" t="n">
        <v>0</v>
      </c>
    </row>
    <row r="49">
      <c r="B49" s="2" t="inlineStr">
        <is>
          <t>نسبة صرف تكاليف البناء والتطوير</t>
        </is>
      </c>
      <c r="C49" s="12">
        <f>SUM(D49:G49)</f>
        <v/>
      </c>
      <c r="D49" s="34" t="n">
        <v>0</v>
      </c>
      <c r="E49" s="34" t="n">
        <v>0.5</v>
      </c>
      <c r="F49" s="34" t="n">
        <v>0.5</v>
      </c>
      <c r="G49" s="34" t="n">
        <v>0</v>
      </c>
    </row>
    <row r="50">
      <c r="B50" s="2" t="inlineStr">
        <is>
          <t>نسبة المساحة المباعة</t>
        </is>
      </c>
      <c r="C50" s="12">
        <f>SUM(D50:G50)</f>
        <v/>
      </c>
      <c r="D50" s="34" t="n">
        <v>0</v>
      </c>
      <c r="E50" s="34" t="n">
        <v>0.5</v>
      </c>
      <c r="F50" s="34" t="n">
        <v>0.5</v>
      </c>
      <c r="G50" s="34" t="n">
        <v>0</v>
      </c>
    </row>
    <row r="51">
      <c r="B51" s="2" t="inlineStr">
        <is>
          <t>متوسط سعر بيع المتر (ريال)</t>
        </is>
      </c>
      <c r="C51" s="2" t="n"/>
      <c r="D51" s="33" t="n">
        <v>0</v>
      </c>
      <c r="E51" s="33" t="n">
        <v>4400</v>
      </c>
      <c r="F51" s="33" t="n">
        <v>5400</v>
      </c>
      <c r="G51" s="33" t="n">
        <v>5400</v>
      </c>
    </row>
    <row r="52">
      <c r="B52" s="2" t="inlineStr">
        <is>
          <t>نسبة سحب التمويل البنكي</t>
        </is>
      </c>
      <c r="C52" s="12">
        <f>SUM(D52:G52)</f>
        <v/>
      </c>
      <c r="D52" s="34" t="n">
        <v>0</v>
      </c>
      <c r="E52" s="34" t="n">
        <v>0.5</v>
      </c>
      <c r="F52" s="34" t="n">
        <v>0.5</v>
      </c>
      <c r="G52" s="34" t="n">
        <v>0</v>
      </c>
    </row>
    <row r="53">
      <c r="B53" s="2" t="inlineStr">
        <is>
          <t>نسبة سداد التمويل البنكي</t>
        </is>
      </c>
      <c r="C53" s="12">
        <f>SUM(D53:G53)</f>
        <v/>
      </c>
      <c r="D53" s="34" t="n">
        <v>0</v>
      </c>
      <c r="E53" s="34" t="n">
        <v>0</v>
      </c>
      <c r="F53" s="34" t="n">
        <v>1</v>
      </c>
      <c r="G53" s="34" t="n">
        <v>0</v>
      </c>
    </row>
    <row r="55">
      <c r="B55" s="15" t="inlineStr">
        <is>
          <t>ملاحظة: التحصيل النقدي من المبيعات يتم 100% في سنة البيع (كما في الملف الأصلي).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G80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B1" s="1" t="inlineStr">
        <is>
          <t>الحسابات التفصيلية</t>
        </is>
      </c>
    </row>
    <row r="2">
      <c r="B2" s="15" t="inlineStr">
        <is>
          <t>لا تحتوي على مدخلات - كل الخلايا معادلات مرتبطة بورقة المدخلات</t>
        </is>
      </c>
    </row>
    <row r="4">
      <c r="B4" s="4" t="inlineStr">
        <is>
          <t>أولاً | الحسابات الأساسية</t>
        </is>
      </c>
      <c r="C4" s="4" t="n"/>
    </row>
    <row r="5">
      <c r="B5" s="31" t="inlineStr">
        <is>
          <t>المساحات</t>
        </is>
      </c>
      <c r="C5" s="32" t="n"/>
    </row>
    <row r="6">
      <c r="B6" s="2" t="inlineStr">
        <is>
          <t>المساحة المبنى عليها (م2)</t>
        </is>
      </c>
      <c r="C6" s="6">
        <f>LandArea*BuildRatio</f>
        <v/>
      </c>
    </row>
    <row r="7">
      <c r="B7" s="2" t="inlineStr">
        <is>
          <t>المسطحات البنائية (م2)</t>
        </is>
      </c>
      <c r="C7" s="6">
        <f>LandArea*FAR</f>
        <v/>
      </c>
    </row>
    <row r="8">
      <c r="B8" s="2" t="inlineStr">
        <is>
          <t>عدد الأدوار</t>
        </is>
      </c>
      <c r="C8" s="19">
        <f>IFERROR(BUA/Footprint,0)</f>
        <v/>
      </c>
    </row>
    <row r="9">
      <c r="B9" s="2" t="inlineStr">
        <is>
          <t>المساحات الصافية القابلة للبيع (م2)</t>
        </is>
      </c>
      <c r="C9" s="6">
        <f>BUA*NetRatio</f>
        <v/>
      </c>
    </row>
    <row r="10">
      <c r="B10" s="2" t="inlineStr">
        <is>
          <t>عدد الوحدات</t>
        </is>
      </c>
      <c r="C10" s="19">
        <f>IFERROR(NetArea/UnitArea,0)</f>
        <v/>
      </c>
    </row>
    <row r="11">
      <c r="B11" s="2" t="inlineStr">
        <is>
          <t>عدد المواقف المطلوبة</t>
        </is>
      </c>
      <c r="C11" s="19">
        <f>Units*ParkPerUnit</f>
        <v/>
      </c>
    </row>
    <row r="12">
      <c r="B12" s="2" t="inlineStr">
        <is>
          <t>مساحة القبو - مواقف (م2)</t>
        </is>
      </c>
      <c r="C12" s="6">
        <f>Parking*ParkArea</f>
        <v/>
      </c>
    </row>
    <row r="13">
      <c r="B13" s="2" t="inlineStr">
        <is>
          <t>عدد أدوار القبو</t>
        </is>
      </c>
      <c r="C13" s="19">
        <f>IFERROR(BasementArea/LandArea,0)</f>
        <v/>
      </c>
    </row>
    <row r="14">
      <c r="B14" s="31" t="inlineStr">
        <is>
          <t>التكاليف</t>
        </is>
      </c>
      <c r="C14" s="32" t="n"/>
    </row>
    <row r="15">
      <c r="B15" s="2" t="inlineStr">
        <is>
          <t>قيمة شراء الأرض</t>
        </is>
      </c>
      <c r="C15" s="6">
        <f>LandArea*LandPrice</f>
        <v/>
      </c>
    </row>
    <row r="16">
      <c r="B16" s="2" t="inlineStr">
        <is>
          <t>السعي والضريبة</t>
        </is>
      </c>
      <c r="C16" s="6">
        <f>LandPurchase*LandFeeRate</f>
        <v/>
      </c>
    </row>
    <row r="17">
      <c r="B17" s="2" t="inlineStr">
        <is>
          <t>إجمالي تكلفة الأرض</t>
        </is>
      </c>
      <c r="C17" s="6">
        <f>LandPurchase+LandFees</f>
        <v/>
      </c>
    </row>
    <row r="18">
      <c r="B18" s="2" t="inlineStr">
        <is>
          <t>تكاليف المباني والإنشاءات (السكني)</t>
        </is>
      </c>
      <c r="C18" s="6">
        <f>BUA*ResCostM2</f>
        <v/>
      </c>
    </row>
    <row r="19">
      <c r="B19" s="2" t="inlineStr">
        <is>
          <t>تكاليف البنية التحتية والمرافق (القبو والمواقف)</t>
        </is>
      </c>
      <c r="C19" s="6">
        <f>BasementArea*BasementCostM2</f>
        <v/>
      </c>
    </row>
    <row r="20">
      <c r="B20" s="2" t="inlineStr">
        <is>
          <t>التكاليف المباشرة</t>
        </is>
      </c>
      <c r="C20" s="6">
        <f>ResCost+BasementCost</f>
        <v/>
      </c>
    </row>
    <row r="21">
      <c r="B21" s="2" t="inlineStr">
        <is>
          <t>التكاليف الأخرى (تصاميم، إشراف، رسوم حكومية، تسويق)</t>
        </is>
      </c>
      <c r="C21" s="6">
        <f>DirectCost*OtherCostRate</f>
        <v/>
      </c>
    </row>
    <row r="22">
      <c r="B22" s="2" t="inlineStr">
        <is>
          <t>الاحتياطي</t>
        </is>
      </c>
      <c r="C22" s="6">
        <f>DirectCost*ContRate</f>
        <v/>
      </c>
    </row>
    <row r="23">
      <c r="B23" s="2" t="inlineStr">
        <is>
          <t>أتعاب المطور</t>
        </is>
      </c>
      <c r="C23" s="6">
        <f>DirectCost*DevFeeRate</f>
        <v/>
      </c>
    </row>
    <row r="24">
      <c r="B24" s="2" t="inlineStr">
        <is>
          <t>التكاليف غير المباشرة</t>
        </is>
      </c>
      <c r="C24" s="6">
        <f>OtherCost+ContCost+DevFee</f>
        <v/>
      </c>
    </row>
    <row r="25">
      <c r="B25" s="2" t="inlineStr">
        <is>
          <t>إجمالي تكاليف التطوير (بدون الأرض)</t>
        </is>
      </c>
      <c r="C25" s="6">
        <f>DirectCost+IndirectCost</f>
        <v/>
      </c>
    </row>
    <row r="26">
      <c r="B26" s="2" t="inlineStr">
        <is>
          <t>إجمالي تكلفة المشروع (قبل التمويل)</t>
        </is>
      </c>
      <c r="C26" s="6">
        <f>LandCost+DevCost</f>
        <v/>
      </c>
    </row>
    <row r="27">
      <c r="B27" s="2" t="inlineStr">
        <is>
          <t>رسوم ترتيب التمويل</t>
        </is>
      </c>
      <c r="C27" s="6">
        <f>LoanAmount*LoanFeeRate</f>
        <v/>
      </c>
    </row>
    <row r="29">
      <c r="B29" s="4" t="inlineStr">
        <is>
          <t>ثانياً | الحسابات حسب الفترات</t>
        </is>
      </c>
      <c r="C29" s="4" t="n"/>
      <c r="D29" s="4" t="n"/>
      <c r="E29" s="4" t="n"/>
      <c r="F29" s="4" t="n"/>
      <c r="G29" s="4" t="n"/>
    </row>
    <row r="30">
      <c r="B30" s="5" t="inlineStr">
        <is>
          <t>البند</t>
        </is>
      </c>
      <c r="C30" s="5" t="inlineStr">
        <is>
          <t>الإجمالي</t>
        </is>
      </c>
      <c r="D30" s="5" t="inlineStr">
        <is>
          <t>فترة التجهيزات</t>
        </is>
      </c>
      <c r="E30" s="5" t="inlineStr">
        <is>
          <t>السنة الأولى</t>
        </is>
      </c>
      <c r="F30" s="5" t="inlineStr">
        <is>
          <t>السنة الثانية</t>
        </is>
      </c>
      <c r="G30" s="5" t="inlineStr">
        <is>
          <t>السنة الثالثة</t>
        </is>
      </c>
    </row>
    <row r="31">
      <c r="B31" s="31" t="inlineStr">
        <is>
          <t>الإيرادات والتحصيل</t>
        </is>
      </c>
      <c r="C31" s="31" t="n"/>
      <c r="D31" s="31" t="n"/>
      <c r="E31" s="31" t="n"/>
      <c r="F31" s="31" t="n"/>
      <c r="G31" s="31" t="n"/>
    </row>
    <row r="32">
      <c r="B32" s="2" t="inlineStr">
        <is>
          <t>المساحات المباعة (م2)</t>
        </is>
      </c>
      <c r="C32" s="9">
        <f>SUM(D32:G32)</f>
        <v/>
      </c>
      <c r="D32" s="6">
        <f>'المدخلات'!D50*NetArea</f>
        <v/>
      </c>
      <c r="E32" s="6">
        <f>'المدخلات'!E50*NetArea</f>
        <v/>
      </c>
      <c r="F32" s="6">
        <f>'المدخلات'!F50*NetArea</f>
        <v/>
      </c>
      <c r="G32" s="6">
        <f>'المدخلات'!G50*NetArea</f>
        <v/>
      </c>
    </row>
    <row r="33">
      <c r="B33" s="2" t="inlineStr">
        <is>
          <t>عدد الوحدات المباعة</t>
        </is>
      </c>
      <c r="C33" s="24">
        <f>SUM(D33:G33)</f>
        <v/>
      </c>
      <c r="D33" s="19">
        <f>'المدخلات'!D50*Units</f>
        <v/>
      </c>
      <c r="E33" s="19">
        <f>'المدخلات'!E50*Units</f>
        <v/>
      </c>
      <c r="F33" s="19">
        <f>'المدخلات'!F50*Units</f>
        <v/>
      </c>
      <c r="G33" s="19">
        <f>'المدخلات'!G50*Units</f>
        <v/>
      </c>
    </row>
    <row r="34">
      <c r="B34" s="2" t="inlineStr">
        <is>
          <t>متوسط سعر المتر (ريال)</t>
        </is>
      </c>
      <c r="C34" s="9">
        <f>IFERROR(C36/C32,0)</f>
        <v/>
      </c>
      <c r="D34" s="6">
        <f>'المدخلات'!D51</f>
        <v/>
      </c>
      <c r="E34" s="6">
        <f>'المدخلات'!E51</f>
        <v/>
      </c>
      <c r="F34" s="6">
        <f>'المدخلات'!F51</f>
        <v/>
      </c>
      <c r="G34" s="6">
        <f>'المدخلات'!G51</f>
        <v/>
      </c>
    </row>
    <row r="35">
      <c r="B35" s="2" t="inlineStr">
        <is>
          <t>متوسط سعر الوحدة (ريال)</t>
        </is>
      </c>
      <c r="C35" s="9">
        <f>C34*UnitArea</f>
        <v/>
      </c>
      <c r="D35" s="6">
        <f>D34*UnitArea</f>
        <v/>
      </c>
      <c r="E35" s="6">
        <f>E34*UnitArea</f>
        <v/>
      </c>
      <c r="F35" s="6">
        <f>F34*UnitArea</f>
        <v/>
      </c>
      <c r="G35" s="6">
        <f>G34*UnitArea</f>
        <v/>
      </c>
    </row>
    <row r="36">
      <c r="B36" s="21" t="inlineStr">
        <is>
          <t>إيرادات المبيعات</t>
        </is>
      </c>
      <c r="C36" s="9">
        <f>SUM(D36:G36)</f>
        <v/>
      </c>
      <c r="D36" s="11">
        <f>D32*D34</f>
        <v/>
      </c>
      <c r="E36" s="11">
        <f>E32*E34</f>
        <v/>
      </c>
      <c r="F36" s="11">
        <f>F32*F34</f>
        <v/>
      </c>
      <c r="G36" s="11">
        <f>G32*G34</f>
        <v/>
      </c>
    </row>
    <row r="37">
      <c r="B37" s="31" t="inlineStr">
        <is>
          <t>التدفقات الخارجة</t>
        </is>
      </c>
      <c r="C37" s="31" t="n"/>
      <c r="D37" s="31" t="n"/>
      <c r="E37" s="31" t="n"/>
      <c r="F37" s="31" t="n"/>
      <c r="G37" s="31" t="n"/>
    </row>
    <row r="38">
      <c r="B38" s="2" t="inlineStr">
        <is>
          <t>تكاليف الأرض</t>
        </is>
      </c>
      <c r="C38" s="9">
        <f>SUM(D38:G38)</f>
        <v/>
      </c>
      <c r="D38" s="6">
        <f>'المدخلات'!D48*LandCost</f>
        <v/>
      </c>
      <c r="E38" s="6">
        <f>'المدخلات'!E48*LandCost</f>
        <v/>
      </c>
      <c r="F38" s="6">
        <f>'المدخلات'!F48*LandCost</f>
        <v/>
      </c>
      <c r="G38" s="6">
        <f>'المدخلات'!G48*LandCost</f>
        <v/>
      </c>
    </row>
    <row r="39">
      <c r="B39" s="2" t="inlineStr">
        <is>
          <t>تكاليف المباني والإنشاءات</t>
        </is>
      </c>
      <c r="C39" s="9">
        <f>SUM(D39:G39)</f>
        <v/>
      </c>
      <c r="D39" s="6">
        <f>'المدخلات'!D49*ResCost</f>
        <v/>
      </c>
      <c r="E39" s="6">
        <f>'المدخلات'!E49*ResCost</f>
        <v/>
      </c>
      <c r="F39" s="6">
        <f>'المدخلات'!F49*ResCost</f>
        <v/>
      </c>
      <c r="G39" s="6">
        <f>'المدخلات'!G49*ResCost</f>
        <v/>
      </c>
    </row>
    <row r="40">
      <c r="B40" s="2" t="inlineStr">
        <is>
          <t>تكاليف البنية التحتية والمرافق (القبو)</t>
        </is>
      </c>
      <c r="C40" s="9">
        <f>SUM(D40:G40)</f>
        <v/>
      </c>
      <c r="D40" s="6">
        <f>'المدخلات'!D49*BasementCost</f>
        <v/>
      </c>
      <c r="E40" s="6">
        <f>'المدخلات'!E49*BasementCost</f>
        <v/>
      </c>
      <c r="F40" s="6">
        <f>'المدخلات'!F49*BasementCost</f>
        <v/>
      </c>
      <c r="G40" s="6">
        <f>'المدخلات'!G49*BasementCost</f>
        <v/>
      </c>
    </row>
    <row r="41">
      <c r="B41" s="2" t="inlineStr">
        <is>
          <t>التكاليف الأخرى (تصاميم، إشراف، رسوم، تسويق)</t>
        </is>
      </c>
      <c r="C41" s="9">
        <f>SUM(D41:G41)</f>
        <v/>
      </c>
      <c r="D41" s="6">
        <f>'المدخلات'!D49*OtherCost</f>
        <v/>
      </c>
      <c r="E41" s="6">
        <f>'المدخلات'!E49*OtherCost</f>
        <v/>
      </c>
      <c r="F41" s="6">
        <f>'المدخلات'!F49*OtherCost</f>
        <v/>
      </c>
      <c r="G41" s="6">
        <f>'المدخلات'!G49*OtherCost</f>
        <v/>
      </c>
    </row>
    <row r="42">
      <c r="B42" s="2" t="inlineStr">
        <is>
          <t>الاحتياطي</t>
        </is>
      </c>
      <c r="C42" s="9">
        <f>SUM(D42:G42)</f>
        <v/>
      </c>
      <c r="D42" s="6">
        <f>'المدخلات'!D49*ContCost</f>
        <v/>
      </c>
      <c r="E42" s="6">
        <f>'المدخلات'!E49*ContCost</f>
        <v/>
      </c>
      <c r="F42" s="6">
        <f>'المدخلات'!F49*ContCost</f>
        <v/>
      </c>
      <c r="G42" s="6">
        <f>'المدخلات'!G49*ContCost</f>
        <v/>
      </c>
    </row>
    <row r="43">
      <c r="B43" s="2" t="inlineStr">
        <is>
          <t>أتعاب المطور</t>
        </is>
      </c>
      <c r="C43" s="9">
        <f>SUM(D43:G43)</f>
        <v/>
      </c>
      <c r="D43" s="6">
        <f>'المدخلات'!D49*DevFee</f>
        <v/>
      </c>
      <c r="E43" s="6">
        <f>'المدخلات'!E49*DevFee</f>
        <v/>
      </c>
      <c r="F43" s="6">
        <f>'المدخلات'!F49*DevFee</f>
        <v/>
      </c>
      <c r="G43" s="6">
        <f>'المدخلات'!G49*DevFee</f>
        <v/>
      </c>
    </row>
    <row r="44">
      <c r="B44" s="31" t="inlineStr">
        <is>
          <t>التمويل البنكي</t>
        </is>
      </c>
      <c r="C44" s="31" t="n"/>
      <c r="D44" s="31" t="n"/>
      <c r="E44" s="31" t="n"/>
      <c r="F44" s="31" t="n"/>
      <c r="G44" s="31" t="n"/>
    </row>
    <row r="45">
      <c r="B45" s="2" t="inlineStr">
        <is>
          <t>رصيد القرض أول المدة</t>
        </is>
      </c>
      <c r="C45" s="28" t="n"/>
      <c r="D45" s="6">
        <f>0</f>
        <v/>
      </c>
      <c r="E45" s="6">
        <f>D48</f>
        <v/>
      </c>
      <c r="F45" s="6">
        <f>E48</f>
        <v/>
      </c>
      <c r="G45" s="6">
        <f>F48</f>
        <v/>
      </c>
    </row>
    <row r="46">
      <c r="B46" s="2" t="inlineStr">
        <is>
          <t>سحب</t>
        </is>
      </c>
      <c r="C46" s="9">
        <f>SUM(D46:G46)</f>
        <v/>
      </c>
      <c r="D46" s="6">
        <f>'المدخلات'!D52*LoanAmount</f>
        <v/>
      </c>
      <c r="E46" s="6">
        <f>'المدخلات'!E52*LoanAmount</f>
        <v/>
      </c>
      <c r="F46" s="6">
        <f>'المدخلات'!F52*LoanAmount</f>
        <v/>
      </c>
      <c r="G46" s="6">
        <f>'المدخلات'!G52*LoanAmount</f>
        <v/>
      </c>
    </row>
    <row r="47">
      <c r="B47" s="2" t="inlineStr">
        <is>
          <t>سداد</t>
        </is>
      </c>
      <c r="C47" s="9">
        <f>SUM(D47:G47)</f>
        <v/>
      </c>
      <c r="D47" s="6">
        <f>'المدخلات'!D53*LoanAmount</f>
        <v/>
      </c>
      <c r="E47" s="6">
        <f>'المدخلات'!E53*LoanAmount</f>
        <v/>
      </c>
      <c r="F47" s="6">
        <f>'المدخلات'!F53*LoanAmount</f>
        <v/>
      </c>
      <c r="G47" s="6">
        <f>'المدخلات'!G53*LoanAmount</f>
        <v/>
      </c>
    </row>
    <row r="48">
      <c r="B48" s="2" t="inlineStr">
        <is>
          <t>رصيد القرض آخر المدة</t>
        </is>
      </c>
      <c r="C48" s="28" t="n"/>
      <c r="D48" s="6">
        <f>D45+D46-D47</f>
        <v/>
      </c>
      <c r="E48" s="6">
        <f>E45+E46-E47</f>
        <v/>
      </c>
      <c r="F48" s="6">
        <f>F45+F46-F47</f>
        <v/>
      </c>
      <c r="G48" s="6">
        <f>G45+G46-G47</f>
        <v/>
      </c>
    </row>
    <row r="49">
      <c r="B49" s="2" t="inlineStr">
        <is>
          <t>المرابحة</t>
        </is>
      </c>
      <c r="C49" s="9">
        <f>SUM(D49:G49)</f>
        <v/>
      </c>
      <c r="D49" s="6">
        <f>(D45+D46)*MurabahaRate</f>
        <v/>
      </c>
      <c r="E49" s="6">
        <f>(E45+E46)*MurabahaRate</f>
        <v/>
      </c>
      <c r="F49" s="6">
        <f>(F45+F46)*MurabahaRate</f>
        <v/>
      </c>
      <c r="G49" s="6">
        <f>(G45+G46)*MurabahaRate</f>
        <v/>
      </c>
    </row>
    <row r="50">
      <c r="B50" s="2" t="inlineStr">
        <is>
          <t>رسوم ترتيب التمويل</t>
        </is>
      </c>
      <c r="C50" s="9">
        <f>SUM(D50:G50)</f>
        <v/>
      </c>
      <c r="D50" s="6">
        <f>1*LoanFee</f>
        <v/>
      </c>
      <c r="E50" s="6">
        <f>0*LoanFee</f>
        <v/>
      </c>
      <c r="F50" s="6">
        <f>0*LoanFee</f>
        <v/>
      </c>
      <c r="G50" s="6">
        <f>0*LoanFee</f>
        <v/>
      </c>
    </row>
    <row r="51">
      <c r="B51" s="31" t="inlineStr">
        <is>
          <t>قائمة الدخل (مطابقة التكاليف مع الإيرادات)</t>
        </is>
      </c>
      <c r="C51" s="31" t="n"/>
      <c r="D51" s="31" t="n"/>
      <c r="E51" s="31" t="n"/>
      <c r="F51" s="31" t="n"/>
      <c r="G51" s="31" t="n"/>
    </row>
    <row r="52">
      <c r="B52" s="2" t="inlineStr">
        <is>
          <t>نسبة الإيراد المعترف به</t>
        </is>
      </c>
      <c r="C52" s="27">
        <f>SUM(D52:G52)</f>
        <v/>
      </c>
      <c r="D52" s="16">
        <f>IFERROR(D36/$C36,0)</f>
        <v/>
      </c>
      <c r="E52" s="16">
        <f>IFERROR(E36/$C36,0)</f>
        <v/>
      </c>
      <c r="F52" s="16">
        <f>IFERROR(F36/$C36,0)</f>
        <v/>
      </c>
      <c r="G52" s="16">
        <f>IFERROR(G36/$C36,0)</f>
        <v/>
      </c>
    </row>
    <row r="53">
      <c r="B53" s="2" t="inlineStr">
        <is>
          <t>تكلفة الأرض المباعة</t>
        </is>
      </c>
      <c r="C53" s="9">
        <f>SUM(D53:G53)</f>
        <v/>
      </c>
      <c r="D53" s="6">
        <f>D52*LandCost</f>
        <v/>
      </c>
      <c r="E53" s="6">
        <f>E52*LandCost</f>
        <v/>
      </c>
      <c r="F53" s="6">
        <f>F52*LandCost</f>
        <v/>
      </c>
      <c r="G53" s="6">
        <f>G52*LandCost</f>
        <v/>
      </c>
    </row>
    <row r="54">
      <c r="B54" s="2" t="inlineStr">
        <is>
          <t>تكاليف المباني والإنشاءات</t>
        </is>
      </c>
      <c r="C54" s="9">
        <f>SUM(D54:G54)</f>
        <v/>
      </c>
      <c r="D54" s="6">
        <f>D52*ResCost</f>
        <v/>
      </c>
      <c r="E54" s="6">
        <f>E52*ResCost</f>
        <v/>
      </c>
      <c r="F54" s="6">
        <f>F52*ResCost</f>
        <v/>
      </c>
      <c r="G54" s="6">
        <f>G52*ResCost</f>
        <v/>
      </c>
    </row>
    <row r="55">
      <c r="B55" s="2" t="inlineStr">
        <is>
          <t>تكاليف البنية التحتية والمرافق</t>
        </is>
      </c>
      <c r="C55" s="9">
        <f>SUM(D55:G55)</f>
        <v/>
      </c>
      <c r="D55" s="6">
        <f>D52*BasementCost</f>
        <v/>
      </c>
      <c r="E55" s="6">
        <f>E52*BasementCost</f>
        <v/>
      </c>
      <c r="F55" s="6">
        <f>F52*BasementCost</f>
        <v/>
      </c>
      <c r="G55" s="6">
        <f>G52*BasementCost</f>
        <v/>
      </c>
    </row>
    <row r="56">
      <c r="B56" s="21" t="inlineStr">
        <is>
          <t>مجمل الربح</t>
        </is>
      </c>
      <c r="C56" s="9">
        <f>SUM(D56:G56)</f>
        <v/>
      </c>
      <c r="D56" s="11">
        <f>D36-D53-D54-D55</f>
        <v/>
      </c>
      <c r="E56" s="11">
        <f>E36-E53-E54-E55</f>
        <v/>
      </c>
      <c r="F56" s="11">
        <f>F36-F53-F54-F55</f>
        <v/>
      </c>
      <c r="G56" s="11">
        <f>G36-G53-G54-G55</f>
        <v/>
      </c>
    </row>
    <row r="57">
      <c r="B57" s="2" t="inlineStr">
        <is>
          <t>التكاليف الأخرى (تصاميم، إشراف، رسوم، تسويق)</t>
        </is>
      </c>
      <c r="C57" s="9">
        <f>SUM(D57:G57)</f>
        <v/>
      </c>
      <c r="D57" s="6">
        <f>D52*OtherCost</f>
        <v/>
      </c>
      <c r="E57" s="6">
        <f>E52*OtherCost</f>
        <v/>
      </c>
      <c r="F57" s="6">
        <f>F52*OtherCost</f>
        <v/>
      </c>
      <c r="G57" s="6">
        <f>G52*OtherCost</f>
        <v/>
      </c>
    </row>
    <row r="58">
      <c r="B58" s="2" t="inlineStr">
        <is>
          <t>الاحتياطي وأتعاب المطور</t>
        </is>
      </c>
      <c r="C58" s="9">
        <f>SUM(D58:G58)</f>
        <v/>
      </c>
      <c r="D58" s="6">
        <f>D52*(ContCost+DevFee)</f>
        <v/>
      </c>
      <c r="E58" s="6">
        <f>E52*(ContCost+DevFee)</f>
        <v/>
      </c>
      <c r="F58" s="6">
        <f>F52*(ContCost+DevFee)</f>
        <v/>
      </c>
      <c r="G58" s="6">
        <f>G52*(ContCost+DevFee)</f>
        <v/>
      </c>
    </row>
    <row r="59">
      <c r="B59" s="21" t="inlineStr">
        <is>
          <t>صافي الربح قبل رسوم التمويل والزكاة</t>
        </is>
      </c>
      <c r="C59" s="9">
        <f>SUM(D59:G59)</f>
        <v/>
      </c>
      <c r="D59" s="11">
        <f>D56-D57-D58</f>
        <v/>
      </c>
      <c r="E59" s="11">
        <f>E56-E57-E58</f>
        <v/>
      </c>
      <c r="F59" s="11">
        <f>F56-F57-F58</f>
        <v/>
      </c>
      <c r="G59" s="11">
        <f>G56-G57-G58</f>
        <v/>
      </c>
    </row>
    <row r="60">
      <c r="B60" s="2" t="inlineStr">
        <is>
          <t>رسوم وتكاليف التمويل</t>
        </is>
      </c>
      <c r="C60" s="9">
        <f>SUM(D60:G60)</f>
        <v/>
      </c>
      <c r="D60" s="6">
        <f>D49+D50</f>
        <v/>
      </c>
      <c r="E60" s="6">
        <f>E49+E50</f>
        <v/>
      </c>
      <c r="F60" s="6">
        <f>F49+F50</f>
        <v/>
      </c>
      <c r="G60" s="6">
        <f>G49+G50</f>
        <v/>
      </c>
    </row>
    <row r="61">
      <c r="B61" s="21" t="inlineStr">
        <is>
          <t>صافي الربح قبل الزكاة</t>
        </is>
      </c>
      <c r="C61" s="9">
        <f>SUM(D61:G61)</f>
        <v/>
      </c>
      <c r="D61" s="11">
        <f>D59-D60</f>
        <v/>
      </c>
      <c r="E61" s="11">
        <f>E59-E60</f>
        <v/>
      </c>
      <c r="F61" s="11">
        <f>F59-F60</f>
        <v/>
      </c>
      <c r="G61" s="11">
        <f>G59-G60</f>
        <v/>
      </c>
    </row>
    <row r="62">
      <c r="B62" s="2" t="inlineStr">
        <is>
          <t>الزكاة / الضريبة</t>
        </is>
      </c>
      <c r="C62" s="9">
        <f>SUM(D62:G62)</f>
        <v/>
      </c>
      <c r="D62" s="6">
        <f>MAX(0,D61)*ZakatRate</f>
        <v/>
      </c>
      <c r="E62" s="6">
        <f>MAX(0,E61)*ZakatRate</f>
        <v/>
      </c>
      <c r="F62" s="6">
        <f>MAX(0,F61)*ZakatRate</f>
        <v/>
      </c>
      <c r="G62" s="6">
        <f>MAX(0,G61)*ZakatRate</f>
        <v/>
      </c>
    </row>
    <row r="63">
      <c r="B63" s="21" t="inlineStr">
        <is>
          <t>صافي الربح</t>
        </is>
      </c>
      <c r="C63" s="9">
        <f>SUM(D63:G63)</f>
        <v/>
      </c>
      <c r="D63" s="11">
        <f>D61-D62</f>
        <v/>
      </c>
      <c r="E63" s="11">
        <f>E61-E62</f>
        <v/>
      </c>
      <c r="F63" s="11">
        <f>F61-F62</f>
        <v/>
      </c>
      <c r="G63" s="11">
        <f>G61-G62</f>
        <v/>
      </c>
    </row>
    <row r="64">
      <c r="B64" s="31" t="inlineStr">
        <is>
          <t>التدفقات النقدية</t>
        </is>
      </c>
      <c r="C64" s="31" t="n"/>
      <c r="D64" s="31" t="n"/>
      <c r="E64" s="31" t="n"/>
      <c r="F64" s="31" t="n"/>
      <c r="G64" s="31" t="n"/>
    </row>
    <row r="65">
      <c r="B65" s="21" t="inlineStr">
        <is>
          <t>إجمالي التدفقات الخارجة</t>
        </is>
      </c>
      <c r="C65" s="9">
        <f>SUM(D65:G65)</f>
        <v/>
      </c>
      <c r="D65" s="11">
        <f>D38+D39+D40+D41+D42+D43+D49+D50+D62</f>
        <v/>
      </c>
      <c r="E65" s="11">
        <f>E38+E39+E40+E41+E42+E43+E49+E50+E62</f>
        <v/>
      </c>
      <c r="F65" s="11">
        <f>F38+F39+F40+F41+F42+F43+F49+F50+F62</f>
        <v/>
      </c>
      <c r="G65" s="11">
        <f>G38+G39+G40+G41+G42+G43+G49+G50+G62</f>
        <v/>
      </c>
    </row>
    <row r="66">
      <c r="B66" s="2" t="inlineStr">
        <is>
          <t>صافي التدفق قبل التمويل</t>
        </is>
      </c>
      <c r="C66" s="9">
        <f>SUM(D66:G66)</f>
        <v/>
      </c>
      <c r="D66" s="6">
        <f>D36-D65</f>
        <v/>
      </c>
      <c r="E66" s="6">
        <f>E36-E65</f>
        <v/>
      </c>
      <c r="F66" s="6">
        <f>F36-F65</f>
        <v/>
      </c>
      <c r="G66" s="6">
        <f>G36-G65</f>
        <v/>
      </c>
    </row>
    <row r="67">
      <c r="B67" s="21" t="inlineStr">
        <is>
          <t>صافي التدفق بعد التمويل البنكي (قبل الملاك)</t>
        </is>
      </c>
      <c r="C67" s="9">
        <f>SUM(D67:G67)</f>
        <v/>
      </c>
      <c r="D67" s="11">
        <f>D66+D46-D47</f>
        <v/>
      </c>
      <c r="E67" s="11">
        <f>E66+E46-E47</f>
        <v/>
      </c>
      <c r="F67" s="11">
        <f>F66+F46-F47</f>
        <v/>
      </c>
      <c r="G67" s="11">
        <f>G66+G46-G47</f>
        <v/>
      </c>
    </row>
    <row r="68">
      <c r="B68" s="2" t="inlineStr">
        <is>
          <t>رصيد النقدية أول المدة</t>
        </is>
      </c>
      <c r="C68" s="28" t="n"/>
      <c r="D68" s="6">
        <f>0</f>
        <v/>
      </c>
      <c r="E68" s="6">
        <f>D70</f>
        <v/>
      </c>
      <c r="F68" s="6">
        <f>E70</f>
        <v/>
      </c>
      <c r="G68" s="6">
        <f>F70</f>
        <v/>
      </c>
    </row>
    <row r="69">
      <c r="B69" s="2" t="inlineStr">
        <is>
          <t>ضخ الملاك / المساهمين (النقد المطلوب)</t>
        </is>
      </c>
      <c r="C69" s="9">
        <f>SUM(D69:G69)</f>
        <v/>
      </c>
      <c r="D69" s="6">
        <f>MAX(0,-(D68+D67))</f>
        <v/>
      </c>
      <c r="E69" s="6">
        <f>MAX(0,-(E68+E67))</f>
        <v/>
      </c>
      <c r="F69" s="6">
        <f>MAX(0,-(F68+F67))</f>
        <v/>
      </c>
      <c r="G69" s="6">
        <f>MAX(0,-(G68+G67))</f>
        <v/>
      </c>
    </row>
    <row r="70">
      <c r="B70" s="21" t="inlineStr">
        <is>
          <t>رصيد النقدية آخر المدة</t>
        </is>
      </c>
      <c r="C70" s="28" t="n"/>
      <c r="D70" s="11">
        <f>D68+D67+D69</f>
        <v/>
      </c>
      <c r="E70" s="11">
        <f>E68+E67+E69</f>
        <v/>
      </c>
      <c r="F70" s="11">
        <f>F68+F67+F69</f>
        <v/>
      </c>
      <c r="G70" s="11">
        <f>G68+G67+G69</f>
        <v/>
      </c>
    </row>
    <row r="72">
      <c r="B72" s="4" t="inlineStr">
        <is>
          <t>ثالثاً | مؤشرات الربحية</t>
        </is>
      </c>
      <c r="C72" s="4" t="n"/>
    </row>
    <row r="73">
      <c r="B73" s="2" t="inlineStr">
        <is>
          <t>حجم الاستثمار (تكلفة المشروع + التمويل)</t>
        </is>
      </c>
      <c r="C73" s="11">
        <f>ProjectCost+T_Murabaha+T_LoanFeeOut</f>
        <v/>
      </c>
    </row>
    <row r="74">
      <c r="B74" s="2" t="inlineStr">
        <is>
          <t>تمويل من متحصلات المشترين</t>
        </is>
      </c>
      <c r="C74" s="11">
        <f>TotalInvest-T_Equity-LoanAmount</f>
        <v/>
      </c>
    </row>
    <row r="75">
      <c r="B75" s="2" t="inlineStr">
        <is>
          <t>العائد الكلي على رأس مال الملاك</t>
        </is>
      </c>
      <c r="C75" s="12">
        <f>IFERROR(T_NetProfit/T_Equity,0)</f>
        <v/>
      </c>
    </row>
    <row r="76">
      <c r="B76" s="2" t="inlineStr">
        <is>
          <t>معدل العائد السنوي على الاستثمار (ROI)</t>
        </is>
      </c>
      <c r="C76" s="12">
        <f>IFERROR(ROI_Total/(Months/12),0)</f>
        <v/>
      </c>
    </row>
    <row r="77">
      <c r="B77" s="2" t="inlineStr">
        <is>
          <t>معدل العائد الداخلي (IRR)</t>
        </is>
      </c>
      <c r="C77" s="12">
        <f>IFERROR(IRR(D67:G67),0)</f>
        <v/>
      </c>
    </row>
    <row r="78">
      <c r="B78" s="2" t="inlineStr">
        <is>
          <t>هامش صافي الربح من المبيعات</t>
        </is>
      </c>
      <c r="C78" s="12">
        <f>IFERROR(T_NetProfit/T_Revenue,0)</f>
        <v/>
      </c>
    </row>
    <row r="79">
      <c r="B79" s="2" t="inlineStr">
        <is>
          <t>صافي الربح إلى إجمالي التكاليف</t>
        </is>
      </c>
      <c r="C79" s="12">
        <f>IFERROR(T_NetProfit/TotalInvest,0)</f>
        <v/>
      </c>
    </row>
    <row r="80">
      <c r="B80" s="2" t="inlineStr">
        <is>
          <t>متوسط تكلفة الوحدة</t>
        </is>
      </c>
      <c r="C80" s="11">
        <f>IFERROR(TotalInvest/Units,0)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2026-09-30T09:22:10Z</dcterms:created>
  <dcterms:modified xsi:type="dcterms:W3CDTF">2026-09-30T09:22:10Z</dcterms:modified>
</cp:coreProperties>
</file>