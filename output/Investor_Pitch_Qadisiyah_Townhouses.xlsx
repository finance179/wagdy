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عرض المستثمر" sheetId="1" state="visible" r:id="rId1"/>
    <sheet name="المشاريع المحيطة" sheetId="2" state="visible" r:id="rId2"/>
    <sheet name="الحسابات" sheetId="3" state="visible" r:id="rId3"/>
    <sheet name="المدخلات" sheetId="4" state="visible" r:id="rId4"/>
  </sheets>
  <definedNames>
    <definedName name="Units">'المدخلات'!$C$5</definedName>
    <definedName name="UnitPrice">'المدخلات'!$C$6</definedName>
    <definedName name="UnitArea">'المدخلات'!$C$7</definedName>
    <definedName name="Months">'المدخلات'!$C$8</definedName>
    <definedName name="DownPct">'المدخلات'!$C$9</definedName>
    <definedName name="BuyCostRate">'المدخلات'!$C$11</definedName>
    <definedName name="SellCostRate">'المدخلات'!$C$12</definedName>
    <definedName name="DiscCons">'المدخلات'!$C$14</definedName>
    <definedName name="DiscBase">'المدخلات'!$C$15</definedName>
    <definedName name="DiscOpt">'المدخلات'!$C$16</definedName>
    <definedName name="Rent">'المدخلات'!$C$18</definedName>
    <definedName name="RentCostRate">'المدخلات'!$C$19</definedName>
    <definedName name="BenchRate">'المدخلات'!$C$21</definedName>
    <definedName name="MktAvgM2">'المشاريع المحيطة'!$F$15</definedName>
    <definedName name="MktMedM2">'المشاريع المحيطة'!$F$16</definedName>
    <definedName name="MktAvgUnit">'المشاريع المحيطة'!$F$17</definedName>
    <definedName name="OurPriceM2">'الحسابات'!$C$4</definedName>
    <definedName name="DealValue">'الحسابات'!$C$5</definedName>
    <definedName name="BuyCosts">'الحسابات'!$C$6</definedName>
    <definedName name="TotalCost">'الحسابات'!$C$7</definedName>
    <definedName name="Discount">'الحسابات'!$C$8</definedName>
    <definedName name="MktValue">'الحسابات'!$C$9</definedName>
    <definedName name="InstantEquity">'الحسابات'!$C$10</definedName>
    <definedName name="CashIn">'الحسابات'!$C$11</definedName>
    <definedName name="RentGross">'الحسابات'!$C$28</definedName>
    <definedName name="RentNet">'الحسابات'!$C$29</definedName>
    <definedName name="YieldGross">'الحسابات'!$C$30</definedName>
    <definedName name="YieldNet">'الحسابات'!$C$31</definedName>
    <definedName name="Payback">'الحسابات'!$C$32</definedName>
    <definedName name="MktYield">'الحسابات'!$C$33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;(0.0%);&quot;-&quot;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0F7C74"/>
      <sz val="16"/>
    </font>
    <font>
      <name val="Arial"/>
      <color rgb="007F7F7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563C1"/>
      <sz val="10"/>
    </font>
    <font>
      <name val="Arial"/>
      <color rgb="00C00000"/>
      <sz val="9"/>
    </font>
    <font>
      <name val="Arial"/>
      <color rgb="007F7F7F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0F7C74"/>
      </patternFill>
    </fill>
    <fill>
      <patternFill patternType="solid">
        <fgColor rgb="00E3F1E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164" fontId="3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165" fontId="3" fillId="6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165" fontId="4" fillId="6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164" fontId="3" fillId="5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164" fontId="5" fillId="3" borderId="1" applyAlignment="1" pivotButton="0" quotePrefix="0" xfId="0">
      <alignment horizontal="right" vertical="center" wrapText="1"/>
    </xf>
    <xf numFmtId="165" fontId="5" fillId="0" borderId="1" applyAlignment="1" pivotButton="0" quotePrefix="0" xfId="0">
      <alignment horizontal="right" vertical="center" wrapText="1"/>
    </xf>
    <xf numFmtId="165" fontId="5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سعر المتر: مشروعنا مقابل السوق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'عرض المستثمر'!H4</f>
            </strRef>
          </tx>
          <spPr>
            <a:solidFill>
              <a:srgbClr val="0F7C74"/>
            </a:solidFill>
            <a:ln>
              <a:prstDash val="solid"/>
            </a:ln>
          </spPr>
          <cat>
            <numRef>
              <f>'عرض المستثمر'!$G$5:$G$12</f>
            </numRef>
          </cat>
          <val>
            <numRef>
              <f>'عرض المستثمر'!$H$5:$H$12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14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haraj.com.sa/11114895518/" TargetMode="External" Id="rId1" /><Relationship Type="http://schemas.openxmlformats.org/officeDocument/2006/relationships/hyperlink" Target="https://haraj.com.sa/11151387860/" TargetMode="External" Id="rId2" /><Relationship Type="http://schemas.openxmlformats.org/officeDocument/2006/relationships/hyperlink" Target="https://haraj.com.sa/11140216303/" TargetMode="External" Id="rId3" /><Relationship Type="http://schemas.openxmlformats.org/officeDocument/2006/relationships/hyperlink" Target="https://haraj.com.sa/en/11166554307/" TargetMode="External" Id="rId4" /><Relationship Type="http://schemas.openxmlformats.org/officeDocument/2006/relationships/hyperlink" Target="https://www.propertyfinder.sa/ar/plp/%D9%84%D9%84%D8%A8%D9%8A%D8%B9/%D8%B4%D9%82%D8%A9-%D9%84%D9%84%D8%A8%D9%8A%D8%B9-%D8%A7%D9%84%D8%B1%D9%8A%D8%A7%D8%B6-%D8%A7%D9%84%D8%B1%D9%8A%D8%A7%D8%B6-%D8%A7%D9%84%D9%8A%D8%B1%D9%85%D9%88%D9%83-255167.html" TargetMode="External" Id="rId5" /><Relationship Type="http://schemas.openxmlformats.org/officeDocument/2006/relationships/hyperlink" Target="https://sa.aqar.fm/%D9%81%D9%84%D9%84-%D9%84%D9%84%D8%A8%D9%8A%D8%B9/%D8%A7%D9%84%D8%B1%D9%8A%D8%A7%D8%B6/%D8%B4%D8%B1%D9%82-%D8%A7%D9%84%D8%B1%D9%8A%D8%A7%D8%B6/%D8%AD%D9%8A-%D8%A7%D9%84%D9%86%D9%87%D8%B6%D8%A9" TargetMode="External" Id="rId6" /><Relationship Type="http://schemas.openxmlformats.org/officeDocument/2006/relationships/hyperlink" Target="https://sa.aqar.fm/%D9%81%D9%84%D9%84-%D9%84%D9%84%D8%A8%D9%8A%D8%B9/%D8%A7%D9%84%D8%B1%D9%8A%D8%A7%D8%B6/%D8%B4%D8%B1%D9%82-%D8%A7%D9%84%D8%B1%D9%8A%D8%A7%D8%B6/%D8%AD%D9%8A-%D8%A7%D9%84%D9%86%D9%87%D8%B6%D8%A9" TargetMode="External" Id="rId7" /><Relationship Type="http://schemas.openxmlformats.org/officeDocument/2006/relationships/hyperlink" Target="https://haraj.com.sa/en/11164555558/" TargetMode="External" Id="rId8" /><Relationship Type="http://schemas.openxmlformats.org/officeDocument/2006/relationships/hyperlink" Target="https://haraj.com.sa/11140216303/" TargetMode="External" Id="rId9" /><Relationship Type="http://schemas.openxmlformats.org/officeDocument/2006/relationships/hyperlink" Target="https://haraj.com.sa/11140216303/" TargetMode="External" Id="rId10" /><Relationship Type="http://schemas.openxmlformats.org/officeDocument/2006/relationships/hyperlink" Target="https://haraj.com.sa/en/11166554307/" TargetMode="External" Id="rId11" /><Relationship Type="http://schemas.openxmlformats.org/officeDocument/2006/relationships/hyperlink" Target="https://rakez.sa/en/project/1880/" TargetMode="External" Id="rId12" /><Relationship Type="http://schemas.openxmlformats.org/officeDocument/2006/relationships/hyperlink" Target="https://rakez.sa/en/project/30814/" TargetMode="External" Id="rId13" /><Relationship Type="http://schemas.openxmlformats.org/officeDocument/2006/relationships/hyperlink" Target="https://haraj.com.sa/11156104033/" TargetMode="External" Id="rId14" /><Relationship Type="http://schemas.openxmlformats.org/officeDocument/2006/relationships/hyperlink" Target="https://haraj.com.sa/11156104033/" TargetMode="External" Id="rId15" /><Relationship Type="http://schemas.openxmlformats.org/officeDocument/2006/relationships/hyperlink" Target="https://x.com/aqarapp/status/1892597582922195433" TargetMode="External" Id="rId16" /><Relationship Type="http://schemas.openxmlformats.org/officeDocument/2006/relationships/hyperlink" Target="https://haraj.com.sa/11156104033/" TargetMode="External" Id="rId17" /></Relationships>
</file>

<file path=xl/worksheets/sheet1.xml><?xml version="1.0" encoding="utf-8"?>
<worksheet xmlns="http://schemas.openxmlformats.org/spreadsheetml/2006/main">
  <sheetPr>
    <tabColor rgb="000F7C74"/>
    <outlinePr summaryBelow="1" summaryRight="1"/>
    <pageSetUpPr fitToPage="1"/>
  </sheetPr>
  <dimension ref="B1:H52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8" customWidth="1" min="3" max="3"/>
    <col width="18" customWidth="1" min="4" max="4"/>
    <col width="18" customWidth="1" min="5" max="5"/>
    <col width="4" customWidth="1" min="6" max="6"/>
    <col width="30" customWidth="1" min="7" max="7"/>
    <col width="12" customWidth="1" min="8" max="8"/>
  </cols>
  <sheetData>
    <row r="1">
      <c r="B1" s="1" t="inlineStr">
        <is>
          <t>فرصة استثمارية: 12 تاون هاوس - القادسية تون هاوس (شرق الرياض)</t>
        </is>
      </c>
    </row>
    <row r="2">
      <c r="B2" s="2" t="inlineStr">
        <is>
          <t>دراسة جدوى مبسطة لشراء 12 وحدة بسعر جملة مقارنةً بأسعار السوق المحيط</t>
        </is>
      </c>
    </row>
    <row r="4">
      <c r="B4" s="3" t="inlineStr">
        <is>
          <t>الصفقة المقترحة</t>
        </is>
      </c>
      <c r="C4" s="3" t="n"/>
      <c r="D4" s="3" t="n"/>
      <c r="G4" s="4" t="inlineStr">
        <is>
          <t>سعر المتر (ريال)</t>
        </is>
      </c>
      <c r="H4" s="4" t="inlineStr">
        <is>
          <t>القيمة</t>
        </is>
      </c>
    </row>
    <row r="5">
      <c r="B5" s="5" t="inlineStr">
        <is>
          <t>عدد الوحدات</t>
        </is>
      </c>
      <c r="C5" s="6">
        <f>Units</f>
        <v/>
      </c>
      <c r="D5" s="5" t="n"/>
      <c r="G5" s="5">
        <f>'المشاريع المحيطة'!B6&amp;" "&amp;'المشاريع المحيطة'!D6&amp;"م2"</f>
        <v/>
      </c>
      <c r="H5" s="7">
        <f>'المشاريع المحيطة'!F6</f>
        <v/>
      </c>
    </row>
    <row r="6">
      <c r="B6" s="5" t="inlineStr">
        <is>
          <t>سعر الوحدة (ريال)</t>
        </is>
      </c>
      <c r="C6" s="6">
        <f>UnitPrice</f>
        <v/>
      </c>
      <c r="D6" s="5" t="n"/>
      <c r="G6" s="5">
        <f>'المشاريع المحيطة'!B7&amp;" "&amp;'المشاريع المحيطة'!D7&amp;"م2"</f>
        <v/>
      </c>
      <c r="H6" s="7">
        <f>'المشاريع المحيطة'!F7</f>
        <v/>
      </c>
    </row>
    <row r="7">
      <c r="B7" s="5" t="inlineStr">
        <is>
          <t>مساحة الوحدة (م2)</t>
        </is>
      </c>
      <c r="C7" s="6">
        <f>UnitArea</f>
        <v/>
      </c>
      <c r="D7" s="5" t="n"/>
      <c r="G7" s="5">
        <f>'المشاريع المحيطة'!B8&amp;" "&amp;'المشاريع المحيطة'!D8&amp;"م2"</f>
        <v/>
      </c>
      <c r="H7" s="7">
        <f>'المشاريع المحيطة'!F8</f>
        <v/>
      </c>
    </row>
    <row r="8">
      <c r="B8" s="5" t="inlineStr">
        <is>
          <t>قيمة الصفقة (ريال)</t>
        </is>
      </c>
      <c r="C8" s="6">
        <f>DealValue</f>
        <v/>
      </c>
      <c r="D8" s="5" t="n"/>
      <c r="G8" s="5">
        <f>'المشاريع المحيطة'!B9&amp;" "&amp;'المشاريع المحيطة'!D9&amp;"م2"</f>
        <v/>
      </c>
      <c r="H8" s="7">
        <f>'المشاريع المحيطة'!F9</f>
        <v/>
      </c>
    </row>
    <row r="9">
      <c r="B9" s="5" t="inlineStr">
        <is>
          <t>إجمالي التكلفة شاملة ضريبة التصرفات (ريال)</t>
        </is>
      </c>
      <c r="C9" s="6">
        <f>TotalCost</f>
        <v/>
      </c>
      <c r="D9" s="5" t="n"/>
      <c r="G9" s="5">
        <f>'المشاريع المحيطة'!B10&amp;" "&amp;'المشاريع المحيطة'!D10&amp;"م2"</f>
        <v/>
      </c>
      <c r="H9" s="7">
        <f>'المشاريع المحيطة'!F10</f>
        <v/>
      </c>
    </row>
    <row r="10">
      <c r="G10" s="5">
        <f>'المشاريع المحيطة'!B11&amp;" "&amp;'المشاريع المحيطة'!D11&amp;"م2"</f>
        <v/>
      </c>
      <c r="H10" s="7">
        <f>'المشاريع المحيطة'!F11</f>
        <v/>
      </c>
    </row>
    <row r="11">
      <c r="B11" s="3" t="inlineStr">
        <is>
          <t>لماذا هذه الصفقة؟ - مقارنة بالسوق</t>
        </is>
      </c>
      <c r="C11" s="3" t="n"/>
      <c r="D11" s="3" t="n"/>
      <c r="G11" s="5">
        <f>'المشاريع المحيطة'!B12&amp;" "&amp;'المشاريع المحيطة'!D12&amp;"م2"</f>
        <v/>
      </c>
      <c r="H11" s="7">
        <f>'المشاريع المحيطة'!F12</f>
        <v/>
      </c>
    </row>
    <row r="12">
      <c r="B12" s="8" t="inlineStr">
        <is>
          <t>سعر المتر لنا</t>
        </is>
      </c>
      <c r="C12" s="9">
        <f>OurPriceM2</f>
        <v/>
      </c>
      <c r="D12" s="10" t="n"/>
      <c r="G12" s="8" t="inlineStr">
        <is>
          <t>مشروعنا</t>
        </is>
      </c>
      <c r="H12" s="9">
        <f>OurPriceM2</f>
        <v/>
      </c>
    </row>
    <row r="13">
      <c r="B13" s="5" t="inlineStr">
        <is>
          <t>متوسط سعر المتر للتاون هاوس في القادسية والجوار</t>
        </is>
      </c>
      <c r="C13" s="6">
        <f>MktAvgM2</f>
        <v/>
      </c>
      <c r="D13" s="5" t="n"/>
    </row>
    <row r="14">
      <c r="B14" s="8" t="inlineStr">
        <is>
          <t>خصم سعرنا عن متوسط السوق</t>
        </is>
      </c>
      <c r="C14" s="11">
        <f>Discount</f>
        <v/>
      </c>
      <c r="D14" s="10" t="n"/>
    </row>
    <row r="15">
      <c r="B15" s="5" t="inlineStr">
        <is>
          <t>القيمة السوقية للـ12 وحدة بمتوسط السوق</t>
        </is>
      </c>
      <c r="C15" s="6">
        <f>MktValue</f>
        <v/>
      </c>
      <c r="D15" s="5" t="n"/>
    </row>
    <row r="16">
      <c r="B16" s="8" t="inlineStr">
        <is>
          <t>فرق القيمة لصالح المستثمر من يوم الشراء</t>
        </is>
      </c>
      <c r="C16" s="9">
        <f>InstantEquity</f>
        <v/>
      </c>
      <c r="D16" s="10" t="n"/>
    </row>
    <row r="18">
      <c r="B18" s="3" t="inlineStr">
        <is>
          <t>الخيار (1): إعادة البيع عند التسليم</t>
        </is>
      </c>
      <c r="C18" s="3" t="n"/>
      <c r="D18" s="3" t="n"/>
      <c r="E18" s="3" t="n"/>
    </row>
    <row r="19">
      <c r="B19" s="12" t="inlineStr">
        <is>
          <t>البند</t>
        </is>
      </c>
      <c r="C19" s="12" t="inlineStr">
        <is>
          <t>متحفظ</t>
        </is>
      </c>
      <c r="D19" s="12" t="inlineStr">
        <is>
          <t>أساسي</t>
        </is>
      </c>
      <c r="E19" s="12" t="inlineStr">
        <is>
          <t>متفائل</t>
        </is>
      </c>
    </row>
    <row r="20">
      <c r="B20" s="5" t="inlineStr">
        <is>
          <t>سعر بيع المتر</t>
        </is>
      </c>
      <c r="C20" s="7">
        <f>'الحسابات'!C15</f>
        <v/>
      </c>
      <c r="D20" s="7">
        <f>'الحسابات'!D15</f>
        <v/>
      </c>
      <c r="E20" s="7">
        <f>'الحسابات'!E15</f>
        <v/>
      </c>
    </row>
    <row r="21">
      <c r="B21" s="5" t="inlineStr">
        <is>
          <t>سعر بيع الوحدة</t>
        </is>
      </c>
      <c r="C21" s="7">
        <f>'الحسابات'!C16</f>
        <v/>
      </c>
      <c r="D21" s="7">
        <f>'الحسابات'!D16</f>
        <v/>
      </c>
      <c r="E21" s="7">
        <f>'الحسابات'!E16</f>
        <v/>
      </c>
    </row>
    <row r="22">
      <c r="B22" s="5" t="inlineStr">
        <is>
          <t>صافي متحصلات البيع</t>
        </is>
      </c>
      <c r="C22" s="7">
        <f>'الحسابات'!C19</f>
        <v/>
      </c>
      <c r="D22" s="7">
        <f>'الحسابات'!D19</f>
        <v/>
      </c>
      <c r="E22" s="7">
        <f>'الحسابات'!E19</f>
        <v/>
      </c>
    </row>
    <row r="23">
      <c r="B23" s="8" t="inlineStr">
        <is>
          <t>صافي الربح</t>
        </is>
      </c>
      <c r="C23" s="9">
        <f>'الحسابات'!C20</f>
        <v/>
      </c>
      <c r="D23" s="9">
        <f>'الحسابات'!D20</f>
        <v/>
      </c>
      <c r="E23" s="9">
        <f>'الحسابات'!E20</f>
        <v/>
      </c>
    </row>
    <row r="24">
      <c r="B24" s="5" t="inlineStr">
        <is>
          <t>العائد الكلي</t>
        </is>
      </c>
      <c r="C24" s="13">
        <f>'الحسابات'!C21</f>
        <v/>
      </c>
      <c r="D24" s="13">
        <f>'الحسابات'!D21</f>
        <v/>
      </c>
      <c r="E24" s="13">
        <f>'الحسابات'!E21</f>
        <v/>
      </c>
    </row>
    <row r="25">
      <c r="B25" s="8" t="inlineStr">
        <is>
          <t>العائد السنوي</t>
        </is>
      </c>
      <c r="C25" s="11">
        <f>'الحسابات'!C22</f>
        <v/>
      </c>
      <c r="D25" s="11">
        <f>'الحسابات'!D22</f>
        <v/>
      </c>
      <c r="E25" s="11">
        <f>'الحسابات'!E22</f>
        <v/>
      </c>
    </row>
    <row r="26">
      <c r="B26" s="5" t="inlineStr">
        <is>
          <t>العائد السنوي على النقد المدفوع فعلياً</t>
        </is>
      </c>
      <c r="C26" s="13">
        <f>'الحسابات'!C24</f>
        <v/>
      </c>
      <c r="D26" s="13">
        <f>'الحسابات'!D24</f>
        <v/>
      </c>
      <c r="E26" s="13">
        <f>'الحسابات'!E24</f>
        <v/>
      </c>
    </row>
    <row r="27">
      <c r="B27" s="14">
        <f>"سعر التعادل: "&amp;TEXT('الحسابات'!C25,"#,##0")&amp;" ريال/م2 - أي أن السوق يجب أن ينخفض "&amp;TEXT(1-'الحسابات'!C25/MktAvgM2,"0%")&amp;" عن متوسطه الحالي حتى يخسر المستثمر."</f>
        <v/>
      </c>
    </row>
    <row r="29">
      <c r="B29" s="3" t="inlineStr">
        <is>
          <t>أثر شروط الصفقة على العائد السنوي (السيناريو الأساسي)</t>
        </is>
      </c>
      <c r="C29" s="3" t="n"/>
      <c r="D29" s="3" t="n"/>
      <c r="E29" s="3" t="n"/>
    </row>
    <row r="30">
      <c r="B30" s="12" t="inlineStr">
        <is>
          <t>نسبة الدفع عند التعاقد</t>
        </is>
      </c>
      <c r="C30" s="12" t="inlineStr">
        <is>
          <t>المستثمر يتحمل الضريبة</t>
        </is>
      </c>
      <c r="D30" s="12" t="inlineStr">
        <is>
          <t>المطور يتحمل الضريبة</t>
        </is>
      </c>
    </row>
    <row r="31">
      <c r="B31" s="15" t="n">
        <v>1</v>
      </c>
      <c r="C31" s="13">
        <f>(1+('الحسابات'!D19-DealValue*(1+BuyCostRate))/(DealValue*1+DealValue*BuyCostRate))^(12/Months)-1</f>
        <v/>
      </c>
      <c r="D31" s="13">
        <f>(1+('الحسابات'!D19-DealValue*(1+0))/(DealValue*1+DealValue*0))^(12/Months)-1</f>
        <v/>
      </c>
    </row>
    <row r="32">
      <c r="B32" s="15" t="n">
        <v>0.5</v>
      </c>
      <c r="C32" s="13">
        <f>(1+('الحسابات'!D19-DealValue*(1+BuyCostRate))/(DealValue*0.5+DealValue*BuyCostRate))^(12/Months)-1</f>
        <v/>
      </c>
      <c r="D32" s="13">
        <f>(1+('الحسابات'!D19-DealValue*(1+0))/(DealValue*0.5+DealValue*0))^(12/Months)-1</f>
        <v/>
      </c>
    </row>
    <row r="33">
      <c r="B33" s="15" t="n">
        <v>0.3</v>
      </c>
      <c r="C33" s="13">
        <f>(1+('الحسابات'!D19-DealValue*(1+BuyCostRate))/(DealValue*0.3+DealValue*BuyCostRate))^(12/Months)-1</f>
        <v/>
      </c>
      <c r="D33" s="16">
        <f>(1+('الحسابات'!D19-DealValue*(1+0))/(DealValue*0.3+DealValue*0))^(12/Months)-1</f>
        <v/>
      </c>
    </row>
    <row r="34">
      <c r="B34" s="14" t="inlineStr">
        <is>
          <t>الدفع على مراحل (الباقي عند التسليم) وتحمّل المطور للضريبة يرفعان عائد المستثمر على النقد المدفوع بشكل كبير.</t>
        </is>
      </c>
    </row>
    <row r="36">
      <c r="B36" s="3" t="inlineStr">
        <is>
          <t>الخيار (2): الاحتفاظ والتأجير</t>
        </is>
      </c>
      <c r="C36" s="3" t="n"/>
      <c r="D36" s="3" t="n"/>
    </row>
    <row r="37">
      <c r="B37" s="5" t="inlineStr">
        <is>
          <t>الإيجار السنوي المتوقع للوحدة</t>
        </is>
      </c>
      <c r="C37" s="6">
        <f>Rent</f>
        <v/>
      </c>
      <c r="D37" s="5" t="n"/>
    </row>
    <row r="38">
      <c r="B38" s="5" t="inlineStr">
        <is>
          <t>صافي الإيجار السنوي (12 وحدة)</t>
        </is>
      </c>
      <c r="C38" s="6">
        <f>RentNet</f>
        <v/>
      </c>
      <c r="D38" s="5" t="n"/>
    </row>
    <row r="39">
      <c r="B39" s="8" t="inlineStr">
        <is>
          <t>العائد الإيجاري الصافي على سعرنا</t>
        </is>
      </c>
      <c r="C39" s="11">
        <f>YieldNet</f>
        <v/>
      </c>
      <c r="D39" s="10" t="n"/>
    </row>
    <row r="40">
      <c r="B40" s="5" t="inlineStr">
        <is>
          <t>العائد الإيجاري لو اشترى بسعر السوق</t>
        </is>
      </c>
      <c r="C40" s="15">
        <f>MktYield</f>
        <v/>
      </c>
      <c r="D40" s="5" t="n"/>
    </row>
    <row r="41">
      <c r="B41" s="5" t="inlineStr">
        <is>
          <t>عائد بديل (ودائع / صكوك)</t>
        </is>
      </c>
      <c r="C41" s="15">
        <f>BenchRate</f>
        <v/>
      </c>
      <c r="D41" s="5" t="n"/>
    </row>
    <row r="42">
      <c r="B42" s="5" t="inlineStr">
        <is>
          <t>فترة الاسترداد من الإيجار (سنة)</t>
        </is>
      </c>
      <c r="C42" s="17">
        <f>Payback</f>
        <v/>
      </c>
      <c r="D42" s="5" t="n"/>
    </row>
    <row r="44">
      <c r="B44" s="3" t="inlineStr">
        <is>
          <t>نقاط القوة للمستثمر</t>
        </is>
      </c>
      <c r="C44" s="3" t="n"/>
      <c r="D44" s="3" t="n"/>
      <c r="E44" s="3" t="n"/>
      <c r="F44" s="3" t="n"/>
    </row>
    <row r="45" ht="30" customHeight="1">
      <c r="B45" s="5">
        <f>"سعر جملة "&amp;TEXT(OurPriceM2,"#,##0")&amp;" ريال/م2 مقابل متوسط "&amp;TEXT(MktAvgM2,"#,##0")&amp;" ريال/م2 في السوق المحيط (خصم "&amp;TEXT(Discount,"0%")&amp;")."</f>
        <v/>
      </c>
    </row>
    <row r="46" ht="30" customHeight="1">
      <c r="B46" s="5">
        <f>"سعر الوحدة "&amp;TEXT(UnitPrice,"#,##0")&amp;" ريال - قريب من سعر الشقة في نفس الحي (مشروع نورفا يبدأ من 1,125,000 ريال) مع مساحة واستقلالية التاون هاوس."</f>
        <v/>
      </c>
    </row>
    <row r="47" ht="30" customHeight="1">
      <c r="B47" s="5">
        <f>"هامش أمان: حتى في السيناريو المتحفظ (بيع بأقل 15% من السوق) الربح "&amp;TEXT('الحسابات'!C20,"#,##0")&amp;" ريال."</f>
        <v/>
      </c>
    </row>
    <row r="48" ht="30" customHeight="1">
      <c r="B48" s="5">
        <f>"مرونة في الخروج: إعادة البيع عند التسليم أو التأجير بعائد صافي "&amp;TEXT(YieldNet,"0.0%")&amp;" سنوياً."</f>
        <v/>
      </c>
    </row>
    <row r="49" ht="30" customHeight="1">
      <c r="B49" s="5" t="inlineStr">
        <is>
          <t>الطلب على التاون هاوس في شرق الرياض مرتفع كحل وسط بين الشقة والفيلا، والقادسية حي قائم بخدماته.</t>
        </is>
      </c>
    </row>
    <row r="50" ht="30" customHeight="1">
      <c r="B50" s="5" t="inlineStr">
        <is>
          <t>البيع على الخارطة تحت إشراف الهيئة العامة للعقار (وافي) وحساب ضمان للمدفوعات.</t>
        </is>
      </c>
    </row>
    <row r="52">
      <c r="B52" s="14" t="inlineStr">
        <is>
          <t>الأسعار المقارنة أسعار طلب معلنة على المنصات العقارية وقد تختلف عن أسعار البيع الفعلية. التفاصيل والمصادر في ورقة "المشاريع المحيطة".</t>
        </is>
      </c>
    </row>
  </sheetData>
  <mergeCells count="25">
    <mergeCell ref="C6:D6"/>
    <mergeCell ref="B47:F47"/>
    <mergeCell ref="C15:D15"/>
    <mergeCell ref="C5:D5"/>
    <mergeCell ref="C42:D42"/>
    <mergeCell ref="C14:D14"/>
    <mergeCell ref="B46:F46"/>
    <mergeCell ref="B52:F52"/>
    <mergeCell ref="C16:D16"/>
    <mergeCell ref="B48:F48"/>
    <mergeCell ref="C41:D41"/>
    <mergeCell ref="C40:D40"/>
    <mergeCell ref="C9:D9"/>
    <mergeCell ref="C12:D12"/>
    <mergeCell ref="B27:E27"/>
    <mergeCell ref="C39:D39"/>
    <mergeCell ref="C8:D8"/>
    <mergeCell ref="B49:F49"/>
    <mergeCell ref="C7:D7"/>
    <mergeCell ref="C38:D38"/>
    <mergeCell ref="C37:D37"/>
    <mergeCell ref="B45:F45"/>
    <mergeCell ref="C13:D13"/>
    <mergeCell ref="B34:E34"/>
    <mergeCell ref="B50:F5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C74"/>
    <outlinePr summaryBelow="1" summaryRight="1"/>
    <pageSetUpPr fitToPage="1"/>
  </sheetPr>
  <dimension ref="B1:H34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40" customWidth="1" min="3" max="3"/>
    <col width="12" customWidth="1" min="4" max="4"/>
    <col width="16" customWidth="1" min="5" max="5"/>
    <col width="14" customWidth="1" min="6" max="6"/>
    <col width="14" customWidth="1" min="7" max="7"/>
    <col width="22" customWidth="1" min="8" max="8"/>
  </cols>
  <sheetData>
    <row r="1">
      <c r="B1" s="1" t="inlineStr">
        <is>
          <t>أسعار التاون هاوس في القادسية والأحياء المجاورة (شرق الرياض)</t>
        </is>
      </c>
    </row>
    <row r="2">
      <c r="B2" s="14" t="inlineStr">
        <is>
          <t>عروض معلنة على المنصات العقارية (أسعار طلب وليست صفقات منفذة) - تم البحث في سبتمبر 2026</t>
        </is>
      </c>
    </row>
    <row r="4">
      <c r="B4" s="3" t="inlineStr">
        <is>
          <t>أولاً | عروض بيع تاون هاوس (مساحة معلنة)</t>
        </is>
      </c>
      <c r="C4" s="3" t="n"/>
      <c r="D4" s="3" t="n"/>
      <c r="E4" s="3" t="n"/>
      <c r="F4" s="3" t="n"/>
      <c r="G4" s="3" t="n"/>
      <c r="H4" s="3" t="n"/>
    </row>
    <row r="5">
      <c r="B5" s="12" t="inlineStr">
        <is>
          <t>الحي</t>
        </is>
      </c>
      <c r="C5" s="12" t="inlineStr">
        <is>
          <t>الوصف</t>
        </is>
      </c>
      <c r="D5" s="12" t="inlineStr">
        <is>
          <t>المساحة م2</t>
        </is>
      </c>
      <c r="E5" s="12" t="inlineStr">
        <is>
          <t>السعر (ريال)</t>
        </is>
      </c>
      <c r="F5" s="12" t="inlineStr">
        <is>
          <t>سعر المتر</t>
        </is>
      </c>
      <c r="G5" s="12" t="inlineStr">
        <is>
          <t>سعرنا أقل بـ</t>
        </is>
      </c>
      <c r="H5" s="12" t="inlineStr">
        <is>
          <t>المصدر</t>
        </is>
      </c>
    </row>
    <row r="6">
      <c r="B6" s="5" t="inlineStr">
        <is>
          <t>القادسية</t>
        </is>
      </c>
      <c r="C6" s="5" t="inlineStr">
        <is>
          <t>تاون هاوس</t>
        </is>
      </c>
      <c r="D6" s="7" t="n">
        <v>200</v>
      </c>
      <c r="E6" s="7" t="n">
        <v>950900</v>
      </c>
      <c r="F6" s="7">
        <f>E6/D6</f>
        <v/>
      </c>
      <c r="G6" s="13">
        <f>1-OurPriceM2/F6</f>
        <v/>
      </c>
      <c r="H6" s="18" t="inlineStr">
        <is>
          <t>حراج</t>
        </is>
      </c>
    </row>
    <row r="7">
      <c r="B7" s="5" t="inlineStr">
        <is>
          <t>القادسية</t>
        </is>
      </c>
      <c r="C7" s="5" t="inlineStr">
        <is>
          <t>فيلا تاون هاوس</t>
        </is>
      </c>
      <c r="D7" s="7" t="n">
        <v>220</v>
      </c>
      <c r="E7" s="7" t="n">
        <v>1200000</v>
      </c>
      <c r="F7" s="7">
        <f>E7/D7</f>
        <v/>
      </c>
      <c r="G7" s="13">
        <f>1-OurPriceM2/F7</f>
        <v/>
      </c>
      <c r="H7" s="18" t="inlineStr">
        <is>
          <t>حراج</t>
        </is>
      </c>
    </row>
    <row r="8">
      <c r="B8" s="5" t="inlineStr">
        <is>
          <t>القادسية</t>
        </is>
      </c>
      <c r="C8" s="5" t="inlineStr">
        <is>
          <t>تاون هاوس 3 أدوار - عمر سنتين</t>
        </is>
      </c>
      <c r="D8" s="7" t="n">
        <v>188</v>
      </c>
      <c r="E8" s="7" t="n">
        <v>1300000</v>
      </c>
      <c r="F8" s="7">
        <f>E8/D8</f>
        <v/>
      </c>
      <c r="G8" s="13">
        <f>1-OurPriceM2/F8</f>
        <v/>
      </c>
      <c r="H8" s="18" t="inlineStr">
        <is>
          <t>حراج</t>
        </is>
      </c>
    </row>
    <row r="9">
      <c r="B9" s="5" t="inlineStr">
        <is>
          <t>اليرموك</t>
        </is>
      </c>
      <c r="C9" s="5" t="inlineStr">
        <is>
          <t>تاون هاوس فاخر 4 غرف</t>
        </is>
      </c>
      <c r="D9" s="7" t="n">
        <v>251.51</v>
      </c>
      <c r="E9" s="7" t="n">
        <v>1800000</v>
      </c>
      <c r="F9" s="7">
        <f>E9/D9</f>
        <v/>
      </c>
      <c r="G9" s="13">
        <f>1-OurPriceM2/F9</f>
        <v/>
      </c>
      <c r="H9" s="18" t="inlineStr">
        <is>
          <t>حراج</t>
        </is>
      </c>
    </row>
    <row r="10">
      <c r="B10" s="5" t="inlineStr">
        <is>
          <t>اليرموك</t>
        </is>
      </c>
      <c r="C10" s="5" t="inlineStr">
        <is>
          <t>تاون هاوس</t>
        </is>
      </c>
      <c r="D10" s="7" t="n">
        <v>253.5</v>
      </c>
      <c r="E10" s="7" t="n">
        <v>1550000</v>
      </c>
      <c r="F10" s="7">
        <f>E10/D10</f>
        <v/>
      </c>
      <c r="G10" s="13">
        <f>1-OurPriceM2/F10</f>
        <v/>
      </c>
      <c r="H10" s="18" t="inlineStr">
        <is>
          <t>بروبرتي فايندر</t>
        </is>
      </c>
    </row>
    <row r="11">
      <c r="B11" s="5" t="inlineStr">
        <is>
          <t>النهضة</t>
        </is>
      </c>
      <c r="C11" s="5" t="inlineStr">
        <is>
          <t>تاون هاوس</t>
        </is>
      </c>
      <c r="D11" s="7" t="n">
        <v>264</v>
      </c>
      <c r="E11" s="7" t="n">
        <v>1500000</v>
      </c>
      <c r="F11" s="7">
        <f>E11/D11</f>
        <v/>
      </c>
      <c r="G11" s="13">
        <f>1-OurPriceM2/F11</f>
        <v/>
      </c>
      <c r="H11" s="18" t="inlineStr">
        <is>
          <t>عقار</t>
        </is>
      </c>
    </row>
    <row r="12">
      <c r="B12" s="5" t="inlineStr">
        <is>
          <t>النهضة</t>
        </is>
      </c>
      <c r="C12" s="5" t="inlineStr">
        <is>
          <t>تاون هاوس علوي</t>
        </is>
      </c>
      <c r="D12" s="7" t="n">
        <v>180</v>
      </c>
      <c r="E12" s="7" t="n">
        <v>1200000</v>
      </c>
      <c r="F12" s="7">
        <f>E12/D12</f>
        <v/>
      </c>
      <c r="G12" s="13">
        <f>1-OurPriceM2/F12</f>
        <v/>
      </c>
      <c r="H12" s="18" t="inlineStr">
        <is>
          <t>عقار</t>
        </is>
      </c>
    </row>
    <row r="13">
      <c r="B13" s="8" t="inlineStr">
        <is>
          <t>مشروعنا - القادسية تون هاوس</t>
        </is>
      </c>
      <c r="C13" s="8" t="inlineStr">
        <is>
          <t>تاون هاوس جديد - بيع بالجملة 12 وحدة</t>
        </is>
      </c>
      <c r="D13" s="9">
        <f>UnitArea</f>
        <v/>
      </c>
      <c r="E13" s="9">
        <f>UnitPrice</f>
        <v/>
      </c>
      <c r="F13" s="9">
        <f>OurPriceM2</f>
        <v/>
      </c>
      <c r="G13" s="10" t="n"/>
      <c r="H13" s="10" t="n"/>
    </row>
    <row r="15">
      <c r="B15" s="4" t="inlineStr">
        <is>
          <t>متوسط سعر المتر في السوق</t>
        </is>
      </c>
      <c r="F15" s="19">
        <f>AVERAGE(F6:F12)</f>
        <v/>
      </c>
    </row>
    <row r="16">
      <c r="B16" s="4" t="inlineStr">
        <is>
          <t>وسيط سعر المتر في السوق</t>
        </is>
      </c>
      <c r="F16" s="19">
        <f>MEDIAN(F6:F12)</f>
        <v/>
      </c>
    </row>
    <row r="17">
      <c r="B17" s="4" t="inlineStr">
        <is>
          <t>متوسط سعر الوحدة المعروضة</t>
        </is>
      </c>
      <c r="F17" s="19">
        <f>AVERAGE(E6:E12)</f>
        <v/>
      </c>
    </row>
    <row r="19">
      <c r="B19" s="3" t="inlineStr">
        <is>
          <t>ثانياً | عروض أخرى في الحي (بدون مساحة معلنة / للمقارنة)</t>
        </is>
      </c>
      <c r="C19" s="3" t="n"/>
      <c r="D19" s="3" t="n"/>
      <c r="E19" s="3" t="n"/>
      <c r="F19" s="3" t="n"/>
      <c r="G19" s="3" t="n"/>
      <c r="H19" s="3" t="n"/>
    </row>
    <row r="20">
      <c r="B20" s="12" t="inlineStr">
        <is>
          <t>الحي</t>
        </is>
      </c>
      <c r="C20" s="12" t="inlineStr">
        <is>
          <t>الوصف</t>
        </is>
      </c>
      <c r="D20" s="12" t="inlineStr">
        <is>
          <t>المساحة م2</t>
        </is>
      </c>
      <c r="E20" s="12" t="inlineStr">
        <is>
          <t>السعر (ريال)</t>
        </is>
      </c>
      <c r="F20" s="12" t="inlineStr"/>
      <c r="G20" s="12" t="inlineStr"/>
      <c r="H20" s="12" t="inlineStr">
        <is>
          <t>المصدر</t>
        </is>
      </c>
    </row>
    <row r="21">
      <c r="B21" s="5" t="inlineStr">
        <is>
          <t>القادسية</t>
        </is>
      </c>
      <c r="C21" s="5" t="inlineStr">
        <is>
          <t>تاون هاوس علوي</t>
        </is>
      </c>
      <c r="D21" s="7" t="inlineStr">
        <is>
          <t>-</t>
        </is>
      </c>
      <c r="E21" s="7" t="n">
        <v>1200000</v>
      </c>
      <c r="F21" s="5" t="n"/>
      <c r="G21" s="5" t="n"/>
      <c r="H21" s="18" t="inlineStr">
        <is>
          <t>حراج</t>
        </is>
      </c>
    </row>
    <row r="22">
      <c r="B22" s="5" t="inlineStr">
        <is>
          <t>القادسية</t>
        </is>
      </c>
      <c r="C22" s="5" t="inlineStr">
        <is>
          <t>تاون هاوس أرضي</t>
        </is>
      </c>
      <c r="D22" s="7" t="inlineStr">
        <is>
          <t>-</t>
        </is>
      </c>
      <c r="E22" s="7" t="n">
        <v>1500000</v>
      </c>
      <c r="F22" s="5" t="n"/>
      <c r="G22" s="5" t="n"/>
      <c r="H22" s="18" t="inlineStr">
        <is>
          <t>حراج</t>
        </is>
      </c>
    </row>
    <row r="23">
      <c r="B23" s="5" t="inlineStr">
        <is>
          <t>القادسية</t>
        </is>
      </c>
      <c r="C23" s="5" t="inlineStr">
        <is>
          <t>تاون هاوس علوي</t>
        </is>
      </c>
      <c r="D23" s="7" t="inlineStr">
        <is>
          <t>-</t>
        </is>
      </c>
      <c r="E23" s="7" t="n">
        <v>1400000</v>
      </c>
      <c r="F23" s="5" t="n"/>
      <c r="G23" s="5" t="n"/>
      <c r="H23" s="18" t="inlineStr">
        <is>
          <t>حراج</t>
        </is>
      </c>
    </row>
    <row r="24">
      <c r="B24" s="5" t="inlineStr">
        <is>
          <t>اليرموك</t>
        </is>
      </c>
      <c r="C24" s="5" t="inlineStr">
        <is>
          <t>دور تاون هاوس أرضي</t>
        </is>
      </c>
      <c r="D24" s="7" t="inlineStr">
        <is>
          <t>-</t>
        </is>
      </c>
      <c r="E24" s="7" t="n">
        <v>1750000</v>
      </c>
      <c r="F24" s="5" t="n"/>
      <c r="G24" s="5" t="n"/>
      <c r="H24" s="18" t="inlineStr">
        <is>
          <t>حراج</t>
        </is>
      </c>
    </row>
    <row r="25">
      <c r="B25" s="5" t="inlineStr">
        <is>
          <t>القادسية</t>
        </is>
      </c>
      <c r="C25" s="5" t="inlineStr">
        <is>
          <t>شقة - مشروع ركايا (ركز)</t>
        </is>
      </c>
      <c r="D25" s="7" t="n">
        <v>181</v>
      </c>
      <c r="E25" s="7" t="n">
        <v>956000</v>
      </c>
      <c r="F25" s="5" t="n"/>
      <c r="G25" s="5" t="n"/>
      <c r="H25" s="18" t="inlineStr">
        <is>
          <t>ركز</t>
        </is>
      </c>
    </row>
    <row r="26">
      <c r="B26" s="5" t="inlineStr">
        <is>
          <t>القادسية</t>
        </is>
      </c>
      <c r="C26" s="5" t="inlineStr">
        <is>
          <t>شقة / بنتهاوس - مشروع نورفا (ركز)</t>
        </is>
      </c>
      <c r="D26" s="7" t="n">
        <v>273</v>
      </c>
      <c r="E26" s="7" t="n">
        <v>1125000</v>
      </c>
      <c r="F26" s="5" t="n"/>
      <c r="G26" s="5" t="n"/>
      <c r="H26" s="18" t="inlineStr">
        <is>
          <t>ركز</t>
        </is>
      </c>
    </row>
    <row r="27">
      <c r="B27" s="20" t="inlineStr">
        <is>
          <t>ملاحظة: شقق مشروع نورفا في نفس الحي تبدأ من 1,125,000 ريال - أي أن سعر التاون هاوس عندنا قريب من سعر الشقة.</t>
        </is>
      </c>
    </row>
    <row r="29">
      <c r="B29" s="3" t="inlineStr">
        <is>
          <t>ثالثاً | إيجارات التاون هاوس في القادسية</t>
        </is>
      </c>
      <c r="C29" s="3" t="n"/>
      <c r="D29" s="3" t="n"/>
      <c r="E29" s="3" t="n"/>
      <c r="F29" s="3" t="n"/>
      <c r="G29" s="3" t="n"/>
      <c r="H29" s="3" t="n"/>
    </row>
    <row r="30">
      <c r="B30" s="12" t="inlineStr">
        <is>
          <t>الحي</t>
        </is>
      </c>
      <c r="C30" s="12" t="inlineStr">
        <is>
          <t>الوصف</t>
        </is>
      </c>
      <c r="D30" s="12" t="inlineStr">
        <is>
          <t>المساحة م2</t>
        </is>
      </c>
      <c r="E30" s="12" t="inlineStr">
        <is>
          <t>الإيجار السنوي</t>
        </is>
      </c>
      <c r="F30" s="12" t="inlineStr"/>
      <c r="G30" s="12" t="inlineStr"/>
      <c r="H30" s="12" t="inlineStr">
        <is>
          <t>المصدر</t>
        </is>
      </c>
    </row>
    <row r="31">
      <c r="B31" s="5" t="inlineStr">
        <is>
          <t>القادسية</t>
        </is>
      </c>
      <c r="C31" s="5" t="inlineStr">
        <is>
          <t>تاون هاوس دورين - مجمع ركايا (دفعة واحدة)</t>
        </is>
      </c>
      <c r="D31" s="7" t="n">
        <v>173</v>
      </c>
      <c r="E31" s="7" t="n">
        <v>75000</v>
      </c>
      <c r="F31" s="5" t="n"/>
      <c r="G31" s="5" t="n"/>
      <c r="H31" s="18" t="inlineStr">
        <is>
          <t>حراج</t>
        </is>
      </c>
    </row>
    <row r="32">
      <c r="B32" s="5" t="inlineStr">
        <is>
          <t>القادسية</t>
        </is>
      </c>
      <c r="C32" s="5" t="inlineStr">
        <is>
          <t>تاون هاوس دورين - مجمع ركايا (دفعتين)</t>
        </is>
      </c>
      <c r="D32" s="7" t="n">
        <v>173</v>
      </c>
      <c r="E32" s="7" t="n">
        <v>85000</v>
      </c>
      <c r="F32" s="5" t="n"/>
      <c r="G32" s="5" t="n"/>
      <c r="H32" s="18" t="inlineStr">
        <is>
          <t>حراج</t>
        </is>
      </c>
    </row>
    <row r="33">
      <c r="B33" s="5" t="inlineStr">
        <is>
          <t>القادسية</t>
        </is>
      </c>
      <c r="C33" s="5" t="inlineStr">
        <is>
          <t>تاون هاوس دورين 3 غرف</t>
        </is>
      </c>
      <c r="D33" s="7" t="n">
        <v>189</v>
      </c>
      <c r="E33" s="7" t="inlineStr">
        <is>
          <t>-</t>
        </is>
      </c>
      <c r="F33" s="5" t="n"/>
      <c r="G33" s="5" t="n"/>
      <c r="H33" s="18" t="inlineStr">
        <is>
          <t>عقار (X)</t>
        </is>
      </c>
    </row>
    <row r="34">
      <c r="B34" s="5" t="inlineStr">
        <is>
          <t>القادسية</t>
        </is>
      </c>
      <c r="C34" s="5" t="inlineStr">
        <is>
          <t>تاون هاوس (دفعة واحدة)</t>
        </is>
      </c>
      <c r="D34" s="7" t="inlineStr">
        <is>
          <t>-</t>
        </is>
      </c>
      <c r="E34" s="7" t="n">
        <v>72000</v>
      </c>
      <c r="F34" s="5" t="n"/>
      <c r="G34" s="5" t="n"/>
      <c r="H34" s="18" t="inlineStr">
        <is>
          <t>حراج</t>
        </is>
      </c>
    </row>
  </sheetData>
  <mergeCells count="3">
    <mergeCell ref="B15:E15"/>
    <mergeCell ref="B17:E17"/>
    <mergeCell ref="B16:E16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21" r:id="rId8"/>
    <hyperlink xmlns:r="http://schemas.openxmlformats.org/officeDocument/2006/relationships" ref="H22" r:id="rId9"/>
    <hyperlink xmlns:r="http://schemas.openxmlformats.org/officeDocument/2006/relationships" ref="H23" r:id="rId10"/>
    <hyperlink xmlns:r="http://schemas.openxmlformats.org/officeDocument/2006/relationships" ref="H24" r:id="rId11"/>
    <hyperlink xmlns:r="http://schemas.openxmlformats.org/officeDocument/2006/relationships" ref="H25" r:id="rId12"/>
    <hyperlink xmlns:r="http://schemas.openxmlformats.org/officeDocument/2006/relationships" ref="H26" r:id="rId13"/>
    <hyperlink xmlns:r="http://schemas.openxmlformats.org/officeDocument/2006/relationships" ref="H31" r:id="rId14"/>
    <hyperlink xmlns:r="http://schemas.openxmlformats.org/officeDocument/2006/relationships" ref="H32" r:id="rId15"/>
    <hyperlink xmlns:r="http://schemas.openxmlformats.org/officeDocument/2006/relationships" ref="H33" r:id="rId16"/>
    <hyperlink xmlns:r="http://schemas.openxmlformats.org/officeDocument/2006/relationships" ref="H34" r:id="rId17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B1:E33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8" customWidth="1" min="3" max="3"/>
    <col width="18" customWidth="1" min="4" max="4"/>
    <col width="18" customWidth="1" min="5" max="5"/>
  </cols>
  <sheetData>
    <row r="1">
      <c r="B1" s="1" t="inlineStr">
        <is>
          <t>الحسابات</t>
        </is>
      </c>
    </row>
    <row r="3">
      <c r="B3" s="3" t="inlineStr">
        <is>
          <t>الصفقة</t>
        </is>
      </c>
      <c r="C3" s="3" t="n"/>
    </row>
    <row r="4">
      <c r="B4" s="5" t="inlineStr">
        <is>
          <t>سعر المتر للمستثمر</t>
        </is>
      </c>
      <c r="C4" s="6">
        <f>UnitPrice/UnitArea</f>
        <v/>
      </c>
    </row>
    <row r="5">
      <c r="B5" s="5" t="inlineStr">
        <is>
          <t>قيمة الصفقة (12 وحدة)</t>
        </is>
      </c>
      <c r="C5" s="6">
        <f>Units*UnitPrice</f>
        <v/>
      </c>
    </row>
    <row r="6">
      <c r="B6" s="5" t="inlineStr">
        <is>
          <t>تكاليف الشراء</t>
        </is>
      </c>
      <c r="C6" s="6">
        <f>DealValue*BuyCostRate</f>
        <v/>
      </c>
    </row>
    <row r="7">
      <c r="B7" s="5" t="inlineStr">
        <is>
          <t>إجمالي تكلفة المستثمر</t>
        </is>
      </c>
      <c r="C7" s="6">
        <f>DealValue+BuyCosts</f>
        <v/>
      </c>
    </row>
    <row r="8">
      <c r="B8" s="5" t="inlineStr">
        <is>
          <t>خصم سعرنا عن متوسط السوق</t>
        </is>
      </c>
      <c r="C8" s="15">
        <f>1-OurPriceM2/MktAvgM2</f>
        <v/>
      </c>
    </row>
    <row r="9">
      <c r="B9" s="5" t="inlineStr">
        <is>
          <t>القيمة السوقية للوحدات بمتوسط السوق</t>
        </is>
      </c>
      <c r="C9" s="6">
        <f>Units*UnitArea*MktAvgM2</f>
        <v/>
      </c>
    </row>
    <row r="10">
      <c r="B10" s="5" t="inlineStr">
        <is>
          <t>فرق القيمة لصالح المستثمر يوم الشراء</t>
        </is>
      </c>
      <c r="C10" s="6">
        <f>MktValue-DealValue</f>
        <v/>
      </c>
    </row>
    <row r="11">
      <c r="B11" s="5" t="inlineStr">
        <is>
          <t>النقد المستثمر فعلياً حتى التسليم (دفعة التعاقد + تكاليف الشراء)</t>
        </is>
      </c>
      <c r="C11" s="6">
        <f>DealValue*DownPct+BuyCosts</f>
        <v/>
      </c>
    </row>
    <row r="13">
      <c r="B13" s="3" t="inlineStr">
        <is>
          <t>سيناريوهات إعادة البيع عند التسليم</t>
        </is>
      </c>
      <c r="C13" s="3" t="n"/>
      <c r="D13" s="3" t="n"/>
      <c r="E13" s="3" t="n"/>
    </row>
    <row r="14">
      <c r="B14" s="12" t="inlineStr">
        <is>
          <t>البند</t>
        </is>
      </c>
      <c r="C14" s="12" t="inlineStr">
        <is>
          <t>متحفظ</t>
        </is>
      </c>
      <c r="D14" s="12" t="inlineStr">
        <is>
          <t>أساسي</t>
        </is>
      </c>
      <c r="E14" s="12" t="inlineStr">
        <is>
          <t>متفائل</t>
        </is>
      </c>
    </row>
    <row r="15">
      <c r="B15" s="5" t="inlineStr">
        <is>
          <t>سعر بيع المتر</t>
        </is>
      </c>
      <c r="C15" s="7">
        <f>MktAvgM2*(1-DiscCons)</f>
        <v/>
      </c>
      <c r="D15" s="7">
        <f>MktAvgM2*(1-DiscBase)</f>
        <v/>
      </c>
      <c r="E15" s="7">
        <f>MktAvgM2*(1-DiscOpt)</f>
        <v/>
      </c>
    </row>
    <row r="16">
      <c r="B16" s="5" t="inlineStr">
        <is>
          <t>سعر بيع الوحدة</t>
        </is>
      </c>
      <c r="C16" s="7">
        <f>C15*UnitArea</f>
        <v/>
      </c>
      <c r="D16" s="7">
        <f>D15*UnitArea</f>
        <v/>
      </c>
      <c r="E16" s="7">
        <f>E15*UnitArea</f>
        <v/>
      </c>
    </row>
    <row r="17">
      <c r="B17" s="5" t="inlineStr">
        <is>
          <t>إجمالي المبيعات (12 وحدة)</t>
        </is>
      </c>
      <c r="C17" s="7">
        <f>C16*Units</f>
        <v/>
      </c>
      <c r="D17" s="7">
        <f>D16*Units</f>
        <v/>
      </c>
      <c r="E17" s="7">
        <f>E16*Units</f>
        <v/>
      </c>
    </row>
    <row r="18">
      <c r="B18" s="5" t="inlineStr">
        <is>
          <t>تكاليف البيع</t>
        </is>
      </c>
      <c r="C18" s="7">
        <f>C17*SellCostRate</f>
        <v/>
      </c>
      <c r="D18" s="7">
        <f>D17*SellCostRate</f>
        <v/>
      </c>
      <c r="E18" s="7">
        <f>E17*SellCostRate</f>
        <v/>
      </c>
    </row>
    <row r="19">
      <c r="B19" s="5" t="inlineStr">
        <is>
          <t>صافي المتحصلات</t>
        </is>
      </c>
      <c r="C19" s="7">
        <f>C17-C18</f>
        <v/>
      </c>
      <c r="D19" s="7">
        <f>D17-D18</f>
        <v/>
      </c>
      <c r="E19" s="7">
        <f>E17-E18</f>
        <v/>
      </c>
    </row>
    <row r="20">
      <c r="B20" s="21" t="inlineStr">
        <is>
          <t>صافي الربح</t>
        </is>
      </c>
      <c r="C20" s="6">
        <f>C19-TotalCost</f>
        <v/>
      </c>
      <c r="D20" s="6">
        <f>D19-TotalCost</f>
        <v/>
      </c>
      <c r="E20" s="6">
        <f>E19-TotalCost</f>
        <v/>
      </c>
    </row>
    <row r="21">
      <c r="B21" s="5" t="inlineStr">
        <is>
          <t>العائد الكلي على إجمالي التكلفة</t>
        </is>
      </c>
      <c r="C21" s="13">
        <f>C20/TotalCost</f>
        <v/>
      </c>
      <c r="D21" s="13">
        <f>D20/TotalCost</f>
        <v/>
      </c>
      <c r="E21" s="13">
        <f>E20/TotalCost</f>
        <v/>
      </c>
    </row>
    <row r="22">
      <c r="B22" s="21" t="inlineStr">
        <is>
          <t>العائد السنوي المركب</t>
        </is>
      </c>
      <c r="C22" s="15">
        <f>(1+C21)^(12/Months)-1</f>
        <v/>
      </c>
      <c r="D22" s="15">
        <f>(1+D21)^(12/Months)-1</f>
        <v/>
      </c>
      <c r="E22" s="15">
        <f>(1+E21)^(12/Months)-1</f>
        <v/>
      </c>
    </row>
    <row r="23">
      <c r="B23" s="5" t="inlineStr">
        <is>
          <t>العائد على النقد المستثمر فعلياً (حسب نسبة الدفع المقدم)</t>
        </is>
      </c>
      <c r="C23" s="13">
        <f>C20/CashIn</f>
        <v/>
      </c>
      <c r="D23" s="13">
        <f>D20/CashIn</f>
        <v/>
      </c>
      <c r="E23" s="13">
        <f>E20/CashIn</f>
        <v/>
      </c>
    </row>
    <row r="24">
      <c r="B24" s="5" t="inlineStr">
        <is>
          <t>العائد السنوي على النقد المستثمر</t>
        </is>
      </c>
      <c r="C24" s="13">
        <f>(1+C23)^(12/Months)-1</f>
        <v/>
      </c>
      <c r="D24" s="13">
        <f>(1+D23)^(12/Months)-1</f>
        <v/>
      </c>
      <c r="E24" s="13">
        <f>(1+E23)^(12/Months)-1</f>
        <v/>
      </c>
    </row>
    <row r="25">
      <c r="B25" s="5" t="inlineStr">
        <is>
          <t>سعر المتر اللازم للتعادل</t>
        </is>
      </c>
      <c r="C25" s="7">
        <f>TotalCost/(1-SellCostRate)/Units/UnitArea</f>
        <v/>
      </c>
      <c r="D25" s="7">
        <f>TotalCost/(1-SellCostRate)/Units/UnitArea</f>
        <v/>
      </c>
      <c r="E25" s="7">
        <f>TotalCost/(1-SellCostRate)/Units/UnitArea</f>
        <v/>
      </c>
    </row>
    <row r="27">
      <c r="B27" s="3" t="inlineStr">
        <is>
          <t>سيناريو التأجير</t>
        </is>
      </c>
      <c r="C27" s="3" t="n"/>
    </row>
    <row r="28">
      <c r="B28" s="5" t="inlineStr">
        <is>
          <t>إجمالي الإيجار السنوي (12 وحدة)</t>
        </is>
      </c>
      <c r="C28" s="6">
        <f>Rent*Units</f>
        <v/>
      </c>
    </row>
    <row r="29">
      <c r="B29" s="5" t="inlineStr">
        <is>
          <t>صافي الإيجار بعد المصاريف</t>
        </is>
      </c>
      <c r="C29" s="6">
        <f>RentGross*(1-RentCostRate)</f>
        <v/>
      </c>
    </row>
    <row r="30">
      <c r="B30" s="5" t="inlineStr">
        <is>
          <t>العائد الإيجاري الإجمالي</t>
        </is>
      </c>
      <c r="C30" s="15">
        <f>RentGross/TotalCost</f>
        <v/>
      </c>
    </row>
    <row r="31">
      <c r="B31" s="5" t="inlineStr">
        <is>
          <t>العائد الإيجاري الصافي</t>
        </is>
      </c>
      <c r="C31" s="15">
        <f>RentNet/TotalCost</f>
        <v/>
      </c>
    </row>
    <row r="32">
      <c r="B32" s="5" t="inlineStr">
        <is>
          <t>فترة استرداد رأس المال من الإيجار (سنة)</t>
        </is>
      </c>
      <c r="C32" s="17">
        <f>TotalCost/RentNet</f>
        <v/>
      </c>
    </row>
    <row r="33">
      <c r="B33" s="5" t="inlineStr">
        <is>
          <t>العائد الإيجاري لو اشترى بسعر السوق</t>
        </is>
      </c>
      <c r="C33" s="15">
        <f>RentNet/(MktValue*(1+BuyCostRate))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B1:D21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58" customWidth="1" min="2" max="2"/>
    <col width="20" customWidth="1" min="3" max="3"/>
    <col width="60" customWidth="1" min="4" max="4"/>
  </cols>
  <sheetData>
    <row r="1">
      <c r="B1" s="1" t="inlineStr">
        <is>
          <t>المدخلات والافتراضات</t>
        </is>
      </c>
    </row>
    <row r="2">
      <c r="B2" s="14" t="inlineStr">
        <is>
          <t>الأزرق = مدخل قابل للتعديل | الأصفر = افتراض يحتاج تأكيد</t>
        </is>
      </c>
    </row>
    <row r="4">
      <c r="B4" s="22" t="inlineStr">
        <is>
          <t>الصفقة</t>
        </is>
      </c>
      <c r="C4" s="22" t="n"/>
      <c r="D4" s="22" t="n"/>
    </row>
    <row r="5">
      <c r="B5" s="5" t="inlineStr">
        <is>
          <t>عدد الوحدات</t>
        </is>
      </c>
      <c r="C5" s="23" t="n">
        <v>12</v>
      </c>
      <c r="D5" s="24" t="n"/>
    </row>
    <row r="6">
      <c r="B6" s="5" t="inlineStr">
        <is>
          <t>سعر الوحدة للمستثمر (ريال)</t>
        </is>
      </c>
      <c r="C6" s="23" t="n">
        <v>1150000</v>
      </c>
      <c r="D6" s="24" t="n"/>
    </row>
    <row r="7">
      <c r="B7" s="5" t="inlineStr">
        <is>
          <t>مساحة الوحدة (م2)</t>
        </is>
      </c>
      <c r="C7" s="25" t="n">
        <v>250</v>
      </c>
      <c r="D7" s="24" t="inlineStr">
        <is>
          <t>افتراض من ملف القادسية (متوسط مساحة الوحدة 250 م2) - يرجى التأكيد</t>
        </is>
      </c>
    </row>
    <row r="8">
      <c r="B8" s="5" t="inlineStr">
        <is>
          <t>مدة الاحتفاظ حتى التسليم وإعادة البيع (شهر)</t>
        </is>
      </c>
      <c r="C8" s="23" t="n">
        <v>22</v>
      </c>
      <c r="D8" s="24" t="inlineStr">
        <is>
          <t>مدة المشروع في ملف القادسية</t>
        </is>
      </c>
    </row>
    <row r="9">
      <c r="B9" s="5" t="inlineStr">
        <is>
          <t>نسبة الدفع عند التعاقد (الباقي عند التسليم)</t>
        </is>
      </c>
      <c r="C9" s="26" t="n">
        <v>1</v>
      </c>
      <c r="D9" s="24" t="inlineStr">
        <is>
          <t>100% = دفع كامل مقدم (أكثر تحفظاً)</t>
        </is>
      </c>
    </row>
    <row r="10">
      <c r="B10" s="22" t="inlineStr">
        <is>
          <t>تكاليف الشراء والبيع</t>
        </is>
      </c>
      <c r="C10" s="22" t="n"/>
      <c r="D10" s="22" t="n"/>
    </row>
    <row r="11">
      <c r="B11" s="5" t="inlineStr">
        <is>
          <t>تكاليف الشراء: ضريبة التصرفات العقارية</t>
        </is>
      </c>
      <c r="C11" s="27" t="n">
        <v>0.05</v>
      </c>
      <c r="D11" s="24" t="inlineStr">
        <is>
          <t>تُصفَّر لو تحملها المطور كحافز للصفقة</t>
        </is>
      </c>
    </row>
    <row r="12">
      <c r="B12" s="5" t="inlineStr">
        <is>
          <t>تكاليف إعادة البيع: سعي / تسويق</t>
        </is>
      </c>
      <c r="C12" s="26" t="n">
        <v>0.025</v>
      </c>
      <c r="D12" s="24" t="n"/>
    </row>
    <row r="13">
      <c r="B13" s="22" t="inlineStr">
        <is>
          <t>سيناريوهات إعادة البيع (خصم عن متوسط سعر المتر في السوق)</t>
        </is>
      </c>
      <c r="C13" s="22" t="n"/>
      <c r="D13" s="22" t="n"/>
    </row>
    <row r="14">
      <c r="B14" s="5" t="inlineStr">
        <is>
          <t>المتحفظ</t>
        </is>
      </c>
      <c r="C14" s="26" t="n">
        <v>0.15</v>
      </c>
      <c r="D14" s="24" t="inlineStr">
        <is>
          <t>البيع بأقل 15% من متوسط السوق</t>
        </is>
      </c>
    </row>
    <row r="15">
      <c r="B15" s="5" t="inlineStr">
        <is>
          <t>الأساسي</t>
        </is>
      </c>
      <c r="C15" s="26" t="n">
        <v>0.1</v>
      </c>
      <c r="D15" s="24" t="inlineStr">
        <is>
          <t>البيع بأقل 10% من متوسط السوق</t>
        </is>
      </c>
    </row>
    <row r="16">
      <c r="B16" s="5" t="inlineStr">
        <is>
          <t>المتفائل</t>
        </is>
      </c>
      <c r="C16" s="26" t="n">
        <v>0</v>
      </c>
      <c r="D16" s="24" t="inlineStr">
        <is>
          <t>البيع بمتوسط السوق</t>
        </is>
      </c>
    </row>
    <row r="17">
      <c r="B17" s="22" t="inlineStr">
        <is>
          <t>سيناريو التأجير</t>
        </is>
      </c>
      <c r="C17" s="22" t="n"/>
      <c r="D17" s="22" t="n"/>
    </row>
    <row r="18">
      <c r="B18" s="5" t="inlineStr">
        <is>
          <t>الإيجار السنوي للوحدة (ريال)</t>
        </is>
      </c>
      <c r="C18" s="25" t="n">
        <v>85000</v>
      </c>
      <c r="D18" s="24" t="inlineStr">
        <is>
          <t>عروض القادسية 72-85 ألف لمساحة 173-189 م2؛ وحدتنا أكبر</t>
        </is>
      </c>
    </row>
    <row r="19">
      <c r="B19" s="5" t="inlineStr">
        <is>
          <t>مصاريف التشغيل والصيانة والإدارة (% من الإيجار)</t>
        </is>
      </c>
      <c r="C19" s="26" t="n">
        <v>0.1</v>
      </c>
      <c r="D19" s="24" t="n"/>
    </row>
    <row r="20">
      <c r="B20" s="22" t="inlineStr">
        <is>
          <t>للمقارنة</t>
        </is>
      </c>
      <c r="C20" s="22" t="n"/>
      <c r="D20" s="22" t="n"/>
    </row>
    <row r="21">
      <c r="B21" s="5" t="inlineStr">
        <is>
          <t>عائد بديل (ودائع / صكوك) سنوياً</t>
        </is>
      </c>
      <c r="C21" s="26" t="n">
        <v>0.05</v>
      </c>
      <c r="D21" s="24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2026-09-30T09:32:56Z</dcterms:created>
  <dcterms:modified xsi:type="dcterms:W3CDTF">2026-09-30T09:32:56Z</dcterms:modified>
</cp:coreProperties>
</file>