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ميزانية" sheetId="1" state="visible" r:id="rId3"/>
  </sheets>
  <definedNames>
    <definedName function="false" hidden="false" localSheetId="0" name="_xlnm.Print_Area" vbProcedure="false">الميزانية!$A$1:$D$32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<sst xmlns="http://schemas.openxmlformats.org/spreadsheetml/2006/main" count="39" uniqueCount="26">
  <si>
    <t xml:space="preserve">البند</t>
  </si>
  <si>
    <t xml:space="preserve">المبلغ</t>
  </si>
  <si>
    <t xml:space="preserve">ملاحظة: نسبة الضريبة المضافة 15%. الأرقام مأخوذة من جدول الأسعار المرسل من المستخدم.</t>
  </si>
  <si>
    <t xml:space="preserve">المساحة الايجارية</t>
  </si>
  <si>
    <t xml:space="preserve">مساحة تأجيرية بمساحة 1,050 م²</t>
  </si>
  <si>
    <t xml:space="preserve">التسويق والعروض الشعبية</t>
  </si>
  <si>
    <t xml:space="preserve">عروض يومية ملهمة</t>
  </si>
  <si>
    <t xml:space="preserve">حملات تسويقية وترويجية</t>
  </si>
  <si>
    <t xml:space="preserve">التشغيل وبناء التجربة</t>
  </si>
  <si>
    <t xml:space="preserve">الصانع الصغير</t>
  </si>
  <si>
    <t xml:space="preserve">تصميم الفكرة</t>
  </si>
  <si>
    <t xml:space="preserve">التجهيزات التكنولوجية</t>
  </si>
  <si>
    <t xml:space="preserve">التجهيزات الفنية</t>
  </si>
  <si>
    <t xml:space="preserve">تطوير المحتوى</t>
  </si>
  <si>
    <t xml:space="preserve">مرحلة التشغيل</t>
  </si>
  <si>
    <t xml:space="preserve">خدمات إضافية</t>
  </si>
  <si>
    <t xml:space="preserve">سوق الصناعة السعودية</t>
  </si>
  <si>
    <t xml:space="preserve">معرض منظومة الصناعة</t>
  </si>
  <si>
    <t xml:space="preserve">تطوير المحتوى- نفق الصناعة</t>
  </si>
  <si>
    <t xml:space="preserve">تجارب متنوعة</t>
  </si>
  <si>
    <t xml:space="preserve">بناء</t>
  </si>
  <si>
    <t xml:space="preserve">تشييد المرافق المعمارية</t>
  </si>
  <si>
    <t xml:space="preserve">خدمة النقل الداخلي وعدد 50 تذكرة شهرية (مواقف كبار الزوار)</t>
  </si>
  <si>
    <t xml:space="preserve">الإجمالي بدون ضريبة</t>
  </si>
  <si>
    <t xml:space="preserve">الضريبة (15%)</t>
  </si>
  <si>
    <t xml:space="preserve">الإجمالي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</si>
</sst>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C6E0B4"/>
      </patternFill>
    </fill>
    <fill>
      <patternFill patternType="solid">
        <fgColor rgb="FF70AD47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4"/>
    <col collapsed="false" customWidth="true" hidden="false" outlineLevel="0" max="4" min="3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3" t="s">
        <v>1</v>
      </c>
      <c r="F1" s="4" t="s">
        <v>2</v>
      </c>
    </row>
    <row r="2" customFormat="false" ht="15" hidden="false" customHeight="true" outlineLevel="0" collapsed="false">
      <c r="A2" s="5" t="s">
        <v>3</v>
      </c>
      <c r="B2" s="6" t="s">
        <v>4</v>
      </c>
      <c r="C2" s="6"/>
      <c r="D2" s="7" t="n">
        <v>10500000</v>
      </c>
    </row>
    <row r="3" customFormat="false" ht="15" hidden="false" customHeight="true" outlineLevel="0" collapsed="false">
      <c r="A3" s="8" t="s">
        <v>5</v>
      </c>
      <c r="B3" s="9" t="s">
        <v>6</v>
      </c>
      <c r="C3" s="10" t="n">
        <v>4500000</v>
      </c>
      <c r="D3" s="11" t="n">
        <f aca="false">SUM(C3:C4)</f>
        <v>7000000</v>
      </c>
    </row>
    <row r="4" customFormat="false" ht="15" hidden="false" customHeight="true" outlineLevel="0" collapsed="false">
      <c r="A4" s="8"/>
      <c r="B4" s="9" t="s">
        <v>7</v>
      </c>
      <c r="C4" s="10" t="n">
        <v>2500000</v>
      </c>
      <c r="D4" s="11"/>
    </row>
    <row r="5" customFormat="false" ht="15" hidden="false" customHeight="true" outlineLevel="0" collapsed="false">
      <c r="A5" s="8" t="s">
        <v>8</v>
      </c>
      <c r="B5" s="12" t="s">
        <v>9</v>
      </c>
      <c r="C5" s="12"/>
      <c r="D5" s="11" t="n">
        <f aca="false">SUM(C6:C27)</f>
        <v>16346423.16</v>
      </c>
    </row>
    <row r="6" customFormat="false" ht="15" hidden="false" customHeight="true" outlineLevel="0" collapsed="false">
      <c r="A6" s="8"/>
      <c r="B6" s="9" t="s">
        <v>10</v>
      </c>
      <c r="C6" s="13" t="n">
        <v>95859</v>
      </c>
      <c r="D6" s="11"/>
    </row>
    <row r="7" customFormat="false" ht="15" hidden="false" customHeight="true" outlineLevel="0" collapsed="false">
      <c r="A7" s="8"/>
      <c r="B7" s="9" t="s">
        <v>11</v>
      </c>
      <c r="C7" s="13" t="n">
        <v>2325475</v>
      </c>
      <c r="D7" s="11"/>
    </row>
    <row r="8" customFormat="false" ht="15" hidden="false" customHeight="true" outlineLevel="0" collapsed="false">
      <c r="A8" s="8"/>
      <c r="B8" s="9" t="s">
        <v>12</v>
      </c>
      <c r="C8" s="13" t="n">
        <v>1175430</v>
      </c>
      <c r="D8" s="11"/>
    </row>
    <row r="9" customFormat="false" ht="15" hidden="false" customHeight="true" outlineLevel="0" collapsed="false">
      <c r="A9" s="8"/>
      <c r="B9" s="9" t="s">
        <v>13</v>
      </c>
      <c r="C9" s="10" t="n">
        <v>64445</v>
      </c>
      <c r="D9" s="11"/>
    </row>
    <row r="10" customFormat="false" ht="15" hidden="false" customHeight="true" outlineLevel="0" collapsed="false">
      <c r="A10" s="8"/>
      <c r="B10" s="9" t="s">
        <v>14</v>
      </c>
      <c r="C10" s="10" t="n">
        <v>830016</v>
      </c>
      <c r="D10" s="11"/>
    </row>
    <row r="11" customFormat="false" ht="15" hidden="false" customHeight="true" outlineLevel="0" collapsed="false">
      <c r="A11" s="8"/>
      <c r="B11" s="9" t="s">
        <v>15</v>
      </c>
      <c r="C11" s="13" t="n">
        <v>3500000</v>
      </c>
      <c r="D11" s="11"/>
    </row>
    <row r="12" customFormat="false" ht="15" hidden="false" customHeight="true" outlineLevel="0" collapsed="false">
      <c r="A12" s="8"/>
      <c r="B12" s="12" t="s">
        <v>16</v>
      </c>
      <c r="C12" s="12"/>
      <c r="D12" s="11"/>
    </row>
    <row r="13" customFormat="false" ht="15" hidden="false" customHeight="true" outlineLevel="0" collapsed="false">
      <c r="A13" s="8"/>
      <c r="B13" s="9" t="s">
        <v>10</v>
      </c>
      <c r="C13" s="13" t="n">
        <v>24833</v>
      </c>
      <c r="D13" s="11"/>
    </row>
    <row r="14" customFormat="false" ht="15" hidden="false" customHeight="true" outlineLevel="0" collapsed="false">
      <c r="A14" s="8"/>
      <c r="B14" s="9" t="s">
        <v>11</v>
      </c>
      <c r="C14" s="13" t="n">
        <v>580880</v>
      </c>
      <c r="D14" s="11"/>
    </row>
    <row r="15" customFormat="false" ht="15" hidden="false" customHeight="true" outlineLevel="0" collapsed="false">
      <c r="A15" s="8"/>
      <c r="B15" s="9" t="s">
        <v>14</v>
      </c>
      <c r="C15" s="10" t="n">
        <v>522602.66</v>
      </c>
      <c r="D15" s="11"/>
    </row>
    <row r="16" customFormat="false" ht="15" hidden="false" customHeight="true" outlineLevel="0" collapsed="false">
      <c r="A16" s="8"/>
      <c r="B16" s="12" t="s">
        <v>17</v>
      </c>
      <c r="C16" s="12"/>
      <c r="D16" s="11"/>
    </row>
    <row r="17" customFormat="false" ht="15" hidden="false" customHeight="true" outlineLevel="0" collapsed="false">
      <c r="A17" s="8"/>
      <c r="B17" s="9" t="s">
        <v>10</v>
      </c>
      <c r="C17" s="13" t="n">
        <v>79460</v>
      </c>
      <c r="D17" s="11"/>
    </row>
    <row r="18" customFormat="false" ht="15" hidden="false" customHeight="true" outlineLevel="0" collapsed="false">
      <c r="A18" s="8"/>
      <c r="B18" s="9" t="s">
        <v>11</v>
      </c>
      <c r="C18" s="13" t="n">
        <v>3500000</v>
      </c>
      <c r="D18" s="11"/>
    </row>
    <row r="19" customFormat="false" ht="15" hidden="false" customHeight="true" outlineLevel="0" collapsed="false">
      <c r="A19" s="8"/>
      <c r="B19" s="9" t="s">
        <v>12</v>
      </c>
      <c r="C19" s="13" t="n">
        <v>1578972</v>
      </c>
      <c r="D19" s="11"/>
    </row>
    <row r="20" customFormat="false" ht="15" hidden="false" customHeight="true" outlineLevel="0" collapsed="false">
      <c r="A20" s="8"/>
      <c r="B20" s="9" t="s">
        <v>18</v>
      </c>
      <c r="C20" s="10" t="n">
        <v>204815</v>
      </c>
      <c r="D20" s="11"/>
    </row>
    <row r="21" customFormat="false" ht="15" hidden="false" customHeight="true" outlineLevel="0" collapsed="false">
      <c r="A21" s="8"/>
      <c r="B21" s="9" t="s">
        <v>14</v>
      </c>
      <c r="C21" s="10" t="n">
        <v>461120</v>
      </c>
      <c r="D21" s="11"/>
    </row>
    <row r="22" customFormat="false" ht="15" hidden="false" customHeight="true" outlineLevel="0" collapsed="false">
      <c r="A22" s="8"/>
      <c r="B22" s="12" t="s">
        <v>19</v>
      </c>
      <c r="C22" s="12"/>
      <c r="D22" s="11"/>
    </row>
    <row r="23" customFormat="false" ht="15" hidden="false" customHeight="true" outlineLevel="0" collapsed="false">
      <c r="A23" s="8"/>
      <c r="B23" s="9" t="s">
        <v>10</v>
      </c>
      <c r="C23" s="13" t="n">
        <v>37743.5</v>
      </c>
      <c r="D23" s="11"/>
    </row>
    <row r="24" customFormat="false" ht="15" hidden="false" customHeight="true" outlineLevel="0" collapsed="false">
      <c r="A24" s="8"/>
      <c r="B24" s="9" t="s">
        <v>11</v>
      </c>
      <c r="C24" s="13" t="n">
        <v>441825</v>
      </c>
      <c r="D24" s="11"/>
    </row>
    <row r="25" customFormat="false" ht="15" hidden="false" customHeight="true" outlineLevel="0" collapsed="false">
      <c r="A25" s="8"/>
      <c r="B25" s="9" t="s">
        <v>12</v>
      </c>
      <c r="C25" s="13" t="n">
        <v>193992</v>
      </c>
      <c r="D25" s="11"/>
    </row>
    <row r="26" customFormat="false" ht="15" hidden="false" customHeight="true" outlineLevel="0" collapsed="false">
      <c r="A26" s="8"/>
      <c r="B26" s="9" t="s">
        <v>13</v>
      </c>
      <c r="C26" s="10" t="n">
        <v>267835</v>
      </c>
      <c r="D26" s="11"/>
    </row>
    <row r="27" customFormat="false" ht="15" hidden="false" customHeight="true" outlineLevel="0" collapsed="false">
      <c r="A27" s="8"/>
      <c r="B27" s="9" t="s">
        <v>14</v>
      </c>
      <c r="C27" s="10" t="n">
        <v>461120</v>
      </c>
      <c r="D27" s="11"/>
    </row>
    <row r="28" customFormat="false" ht="15" hidden="false" customHeight="true" outlineLevel="0" collapsed="false">
      <c r="A28" s="5" t="s">
        <v>20</v>
      </c>
      <c r="B28" s="6" t="s">
        <v>21</v>
      </c>
      <c r="C28" s="6"/>
      <c r="D28" s="7" t="n">
        <v>2700000</v>
      </c>
    </row>
    <row r="29" customFormat="false" ht="15" hidden="false" customHeight="true" outlineLevel="0" collapsed="false">
      <c r="A29" s="5" t="s">
        <v>15</v>
      </c>
      <c r="B29" s="6" t="s">
        <v>22</v>
      </c>
      <c r="C29" s="6"/>
      <c r="D29" s="7" t="n">
        <v>200000</v>
      </c>
    </row>
    <row r="30" customFormat="false" ht="15" hidden="false" customHeight="true" outlineLevel="0" collapsed="false">
      <c r="A30" s="14" t="s">
        <v>23</v>
      </c>
      <c r="B30" s="14"/>
      <c r="C30" s="14"/>
      <c r="D30" s="15" t="n">
        <f aca="false">D2+D3+D5+D28+D29</f>
        <v>36746423.16</v>
      </c>
    </row>
    <row r="31" customFormat="false" ht="15" hidden="false" customHeight="true" outlineLevel="0" collapsed="false">
      <c r="A31" s="14" t="s">
        <v>24</v>
      </c>
      <c r="B31" s="14"/>
      <c r="C31" s="14"/>
      <c r="D31" s="15" t="n">
        <f aca="false">D30*0.15</f>
        <v>5511963.474</v>
      </c>
    </row>
    <row r="32" customFormat="false" ht="15" hidden="false" customHeight="true" outlineLevel="0" collapsed="false">
      <c r="A32" s="16" t="s">
        <v>25</v>
      </c>
      <c r="B32" s="16"/>
      <c r="C32" s="16"/>
      <c r="D32" s="17" t="n">
        <f aca="false">D30+D31</f>
        <v>42258386.634</v>
      </c>
    </row>
  </sheetData>
  <mergeCells count="15">
    <mergeCell ref="A1:C1"/>
    <mergeCell ref="B2:C2"/>
    <mergeCell ref="A3:A4"/>
    <mergeCell ref="D3:D4"/>
    <mergeCell ref="A5:A27"/>
    <mergeCell ref="B5:C5"/>
    <mergeCell ref="D5:D27"/>
    <mergeCell ref="B12:C12"/>
    <mergeCell ref="B16:C16"/>
    <mergeCell ref="B22:C22"/>
    <mergeCell ref="B28:C28"/>
    <mergeCell ref="B29:C29"/>
    <mergeCell ref="A30:C30"/>
    <mergeCell ref="A31:C31"/>
    <mergeCell ref="A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2026-09-01T10:40:48Z</dcterms:created>
  <dc:creator>openpyxl</dc:creator>
  <dc:description/>
  <dc:language>en-US</dc:language>
  <cp:lastModifiedBy/>
  <dcterms:modified xsi:type="dcterms:W3CDTF">2026-09-01T10:53:45Z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