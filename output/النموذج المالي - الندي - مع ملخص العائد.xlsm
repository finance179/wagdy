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120" yWindow="-120" windowWidth="29040" windowHeight="15720" tabRatio="801" firstSheet="0" activeTab="1" autoFilterDateGrouping="1"/>
  </bookViews>
  <sheets>
    <sheet name="قطعة 34 - T5.3" sheetId="1" state="visible" r:id="rId1"/>
    <sheet name="الندي" sheetId="2" state="visible" r:id="rId2"/>
  </sheets>
  <externalReferences>
    <externalReference r:id="rId3"/>
    <externalReference r:id="rId4"/>
  </externalReferences>
  <definedNames>
    <definedName name="in_0">#REF!</definedName>
    <definedName name="in_1">#REF!</definedName>
    <definedName name="in_2">#REF!</definedName>
    <definedName name="in_3">#REF!</definedName>
    <definedName name="in_4">#REF!</definedName>
    <definedName name="in_5">#REF!</definedName>
    <definedName name="in_empty">#REF!</definedName>
    <definedName name="Out_0">#REF!</definedName>
    <definedName name="Out_1">#REF!</definedName>
    <definedName name="Out_2">#REF!</definedName>
    <definedName name="Out_3">#REF!</definedName>
    <definedName name="Out_4">#REF!</definedName>
    <definedName name="Out_5">#REF!</definedName>
    <definedName name="Period_Adjustment">'[1]الايرادات و المبيعات'!$D$6</definedName>
    <definedName name="Period_Factor">#REF!</definedName>
    <definedName name="Price_m2">#REF!</definedName>
    <definedName name="Unit">'[2]20240216 السيناريوهات'!$E$4</definedName>
    <definedName name="VarX1">#REF!</definedName>
    <definedName name="VarX1_1">#REF!</definedName>
    <definedName name="VarX1_2">#REF!</definedName>
    <definedName name="VarX1_3">#REF!</definedName>
    <definedName name="VarX1_4">#REF!</definedName>
    <definedName name="VarX1_5">#REF!</definedName>
    <definedName name="VarX1_temp">#REF!</definedName>
    <definedName name="VarX10">#REF!</definedName>
    <definedName name="VarX10_1">#REF!</definedName>
    <definedName name="VarX10_2">#REF!</definedName>
    <definedName name="VarX10_3">#REF!</definedName>
    <definedName name="VarX10_4">#REF!</definedName>
    <definedName name="VarX10_5">#REF!</definedName>
    <definedName name="VarX10_temp">#REF!</definedName>
    <definedName name="VarX11">#REF!</definedName>
    <definedName name="VarX11_1">#REF!</definedName>
    <definedName name="VarX11_2">#REF!</definedName>
    <definedName name="VarX11_3">#REF!</definedName>
    <definedName name="VarX11_4">#REF!</definedName>
    <definedName name="VarX11_5">#REF!</definedName>
    <definedName name="VarX11_temp">#REF!</definedName>
    <definedName name="VarX12">#REF!</definedName>
    <definedName name="VarX12_1">#REF!</definedName>
    <definedName name="VarX12_2">#REF!</definedName>
    <definedName name="VarX12_3">#REF!</definedName>
    <definedName name="VarX12_4">#REF!</definedName>
    <definedName name="VarX12_5">#REF!</definedName>
    <definedName name="VarX12_temp">#REF!</definedName>
    <definedName name="VarX2">#REF!</definedName>
    <definedName name="VarX2_1">#REF!</definedName>
    <definedName name="VarX2_2">#REF!</definedName>
    <definedName name="VarX2_3">#REF!</definedName>
    <definedName name="VarX2_4">#REF!</definedName>
    <definedName name="VarX2_5">#REF!</definedName>
    <definedName name="VarX2_temp">#REF!</definedName>
    <definedName name="VarX3">#REF!</definedName>
    <definedName name="VarX3_1">#REF!</definedName>
    <definedName name="VarX3_2">#REF!</definedName>
    <definedName name="VarX3_3">#REF!</definedName>
    <definedName name="VarX3_4">#REF!</definedName>
    <definedName name="VarX3_5">#REF!</definedName>
    <definedName name="VarX3_temp">#REF!</definedName>
    <definedName name="VarX4">#REF!</definedName>
    <definedName name="VarX4_1">#REF!</definedName>
    <definedName name="VarX4_2">#REF!</definedName>
    <definedName name="VarX4_3">#REF!</definedName>
    <definedName name="VarX4_4">#REF!</definedName>
    <definedName name="VarX4_5">#REF!</definedName>
    <definedName name="VarX4_temp">#REF!</definedName>
    <definedName name="VarX5">#REF!</definedName>
    <definedName name="VarX5_1">#REF!</definedName>
    <definedName name="VarX5_2">#REF!</definedName>
    <definedName name="VarX5_3">#REF!</definedName>
    <definedName name="VarX5_4">#REF!</definedName>
    <definedName name="VarX5_5">#REF!</definedName>
    <definedName name="VarX5_temp">#REF!</definedName>
    <definedName name="VarX6">#REF!</definedName>
    <definedName name="VarX6_1">#REF!</definedName>
    <definedName name="VarX6_2">#REF!</definedName>
    <definedName name="VarX6_3">#REF!</definedName>
    <definedName name="VarX6_4">#REF!</definedName>
    <definedName name="VarX6_5">#REF!</definedName>
    <definedName name="VarX6_temp">#REF!</definedName>
    <definedName name="VarX7">#REF!</definedName>
    <definedName name="VarX7_1">#REF!</definedName>
    <definedName name="VarX7_2">#REF!</definedName>
    <definedName name="VarX7_3">#REF!</definedName>
    <definedName name="VarX7_4">#REF!</definedName>
    <definedName name="VarX7_5">#REF!</definedName>
    <definedName name="VarX7_temp">#REF!</definedName>
    <definedName name="VarX8">#REF!</definedName>
    <definedName name="VarX8_1">#REF!</definedName>
    <definedName name="VarX8_2">#REF!</definedName>
    <definedName name="VarX8_3">#REF!</definedName>
    <definedName name="VarX8_4">#REF!</definedName>
    <definedName name="VarX8_5">#REF!</definedName>
    <definedName name="VarX8_temp">#REF!</definedName>
    <definedName name="VarX9">#REF!</definedName>
    <definedName name="VarX9_1">#REF!</definedName>
    <definedName name="VarX9_2">#REF!</definedName>
    <definedName name="VarX9_3">#REF!</definedName>
    <definedName name="VarX9_4">#REF!</definedName>
    <definedName name="VarX9_5">#REF!</definedName>
    <definedName name="VarX9_temp">#REF!</definedName>
  </definedNames>
  <calcPr calcId="191029" fullCalcOnLoad="1"/>
</workbook>
</file>

<file path=xl/styles.xml><?xml version="1.0" encoding="utf-8"?>
<styleSheet xmlns="http://schemas.openxmlformats.org/spreadsheetml/2006/main">
  <numFmts count="12">
    <numFmt numFmtId="164" formatCode="#,##0_);\(#,##0\);\-"/>
    <numFmt numFmtId="165" formatCode="0.0%;\(0.0%\);\-"/>
    <numFmt numFmtId="166" formatCode="#,##0;\(#,##0\);\-"/>
    <numFmt numFmtId="167" formatCode="0.00%;\(0.00%\);\-"/>
    <numFmt numFmtId="168" formatCode="#,##0.0;\(#,##0.0\);\-"/>
    <numFmt numFmtId="169" formatCode="#,##0.00;\(#,##0.00\);\-"/>
    <numFmt numFmtId="170" formatCode="#,##0.00_);\(#,##0.00\);\-"/>
    <numFmt numFmtId="171" formatCode="#,##0.0_);\(#,##0.0\);\-"/>
    <numFmt numFmtId="172" formatCode="0%;\(0%\);\-"/>
    <numFmt numFmtId="173" formatCode="0.0"/>
    <numFmt numFmtId="174" formatCode="0.0%"/>
    <numFmt numFmtId="175" formatCode="0.0 &quot;سنة&quot;"/>
  </numFmts>
  <fonts count="36">
    <font>
      <name val="Calibri"/>
      <family val="2"/>
      <color theme="1"/>
      <sz val="11"/>
      <scheme val="minor"/>
    </font>
    <font>
      <name val="Calibri"/>
      <family val="2"/>
      <color theme="1"/>
      <sz val="11"/>
      <scheme val="minor"/>
    </font>
    <font>
      <name val="Calibri"/>
      <family val="2"/>
      <color theme="1"/>
      <sz val="11"/>
    </font>
    <font>
      <name val="Times New Roman"/>
      <family val="1"/>
      <color rgb="FF000000"/>
      <sz val="10"/>
    </font>
    <font>
      <name val="Calibri"/>
      <family val="2"/>
      <b val="1"/>
      <color theme="0"/>
      <sz val="11"/>
      <scheme val="minor"/>
    </font>
    <font>
      <name val="Calibri"/>
      <family val="2"/>
      <sz val="11"/>
      <scheme val="minor"/>
    </font>
    <font>
      <name val="Calibri"/>
      <family val="2"/>
      <b val="1"/>
      <sz val="11"/>
      <scheme val="minor"/>
    </font>
    <font>
      <name val="Calibri"/>
      <family val="2"/>
      <b val="1"/>
      <color rgb="FF0070C0"/>
      <sz val="11"/>
      <scheme val="minor"/>
    </font>
    <font>
      <name val="Calibri"/>
      <family val="2"/>
      <color rgb="FF0070C0"/>
      <sz val="11"/>
      <scheme val="minor"/>
    </font>
    <font>
      <name val="Calibri"/>
      <family val="2"/>
      <b val="1"/>
      <color theme="0"/>
      <sz val="11"/>
    </font>
    <font>
      <name val="Calibri"/>
      <family val="2"/>
      <color theme="0"/>
      <sz val="11"/>
    </font>
    <font>
      <name val="Calibri"/>
      <family val="2"/>
      <b val="1"/>
      <color theme="1"/>
      <sz val="11"/>
    </font>
    <font>
      <name val="Calibri"/>
      <family val="2"/>
      <color rgb="FF0070C0"/>
      <sz val="11"/>
    </font>
    <font>
      <name val="Calibri"/>
      <family val="2"/>
      <sz val="11"/>
    </font>
    <font>
      <name val="Calibri"/>
      <family val="2"/>
      <b val="1"/>
      <sz val="11"/>
    </font>
    <font>
      <name val="Calibri"/>
      <family val="2"/>
      <color rgb="FF00B050"/>
      <sz val="11"/>
    </font>
    <font>
      <name val="Calibri"/>
      <family val="2"/>
      <color theme="0" tint="-0.1499984740745262"/>
      <sz val="11"/>
    </font>
    <font>
      <name val="Calibri"/>
      <family val="2"/>
      <b val="1"/>
      <color theme="0" tint="-0.249977111117893"/>
      <sz val="11"/>
    </font>
    <font>
      <name val="Calibri"/>
      <family val="2"/>
      <b val="1"/>
      <color theme="1"/>
      <sz val="11"/>
      <scheme val="minor"/>
    </font>
    <font>
      <name val="Calibri"/>
      <family val="2"/>
      <b val="1"/>
      <color rgb="FF0070C0"/>
      <sz val="11"/>
    </font>
    <font>
      <name val="Calibri"/>
      <family val="2"/>
      <b val="1"/>
      <sz val="14"/>
    </font>
    <font>
      <name val="Calibri"/>
      <family val="2"/>
      <i val="1"/>
      <color rgb="FF595959"/>
      <sz val="10"/>
    </font>
    <font>
      <name val="Calibri"/>
      <family val="2"/>
      <b val="1"/>
      <color rgb="FFFFFFFF"/>
      <sz val="12"/>
    </font>
    <font>
      <name val="Calibri"/>
      <family val="2"/>
      <b val="1"/>
      <sz val="10"/>
    </font>
    <font>
      <name val="Calibri"/>
      <family val="2"/>
      <sz val="10"/>
    </font>
    <font>
      <name val="Calibri"/>
      <family val="2"/>
      <color rgb="FF0070C0"/>
      <sz val="10"/>
    </font>
    <font>
      <name val="Calibri"/>
      <family val="2"/>
      <color rgb="FF000000"/>
      <sz val="10"/>
    </font>
    <font>
      <name val="Calibri"/>
      <family val="2"/>
      <i val="1"/>
      <color rgb="FF808080"/>
      <sz val="9"/>
    </font>
    <font>
      <name val="Calibri"/>
      <family val="2"/>
      <b val="1"/>
      <color rgb="FF00B050"/>
      <sz val="10"/>
    </font>
    <font>
      <name val="Calibri"/>
      <family val="2"/>
      <b val="1"/>
      <color rgb="FF000000"/>
      <sz val="10"/>
    </font>
    <font>
      <name val="Calibri"/>
      <family val="2"/>
      <b val="1"/>
      <color rgb="FFFFFFFF"/>
      <sz val="11"/>
    </font>
    <font>
      <name val="Calibri"/>
      <family val="2"/>
      <i val="1"/>
      <color rgb="FF404040"/>
      <sz val="9"/>
    </font>
    <font>
      <name val="Calibri"/>
      <family val="2"/>
      <b val="1"/>
      <color rgb="FFFF0000"/>
      <sz val="11"/>
    </font>
    <font>
      <name val="Calibri"/>
      <b val="1"/>
      <sz val="11"/>
    </font>
    <font>
      <name val="Calibri"/>
      <b val="1"/>
      <color rgb="001F4E78"/>
      <sz val="12"/>
    </font>
    <font>
      <name val="Calibri"/>
      <b val="1"/>
      <color rgb="000070C0"/>
      <sz val="11"/>
    </font>
  </fonts>
  <fills count="36">
    <fill>
      <patternFill/>
    </fill>
    <fill>
      <patternFill patternType="gray125"/>
    </fill>
    <fill>
      <patternFill patternType="solid">
        <fgColor theme="0" tint="-0.0499893185216834"/>
        <bgColor indexed="64"/>
      </patternFill>
    </fill>
    <fill>
      <patternFill patternType="solid">
        <fgColor theme="0" tint="-0.499984740745262"/>
        <bgColor indexed="64"/>
      </patternFill>
    </fill>
    <fill>
      <patternFill patternType="solid">
        <fgColor theme="1"/>
        <bgColor indexed="64"/>
      </patternFill>
    </fill>
    <fill>
      <patternFill patternType="solid">
        <fgColor rgb="FFFFFFCC"/>
        <bgColor indexed="64"/>
      </patternFill>
    </fill>
    <fill>
      <patternFill patternType="darkDown"/>
    </fill>
    <fill>
      <patternFill patternType="darkDown">
        <bgColor theme="0" tint="-0.0499893185216834"/>
      </patternFill>
    </fill>
    <fill>
      <patternFill patternType="solid">
        <fgColor theme="6" tint="0.7999816888943144"/>
        <bgColor indexed="64"/>
      </patternFill>
    </fill>
    <fill>
      <patternFill patternType="solid">
        <fgColor theme="4"/>
        <bgColor indexed="64"/>
      </patternFill>
    </fill>
    <fill>
      <patternFill patternType="solid">
        <fgColor theme="5"/>
        <bgColor indexed="64"/>
      </patternFill>
    </fill>
    <fill>
      <patternFill patternType="lightUp"/>
    </fill>
    <fill>
      <patternFill patternType="solid">
        <fgColor theme="8" tint="0.5999938962981048"/>
        <bgColor indexed="64"/>
      </patternFill>
    </fill>
    <fill>
      <patternFill patternType="solid">
        <fgColor theme="0" tint="-0.1499984740745262"/>
        <bgColor indexed="64"/>
      </patternFill>
    </fill>
    <fill>
      <patternFill patternType="solid">
        <fgColor theme="3"/>
        <bgColor indexed="64"/>
      </patternFill>
    </fill>
    <fill>
      <patternFill patternType="solid">
        <fgColor theme="8" tint="0.7999816888943144"/>
        <bgColor indexed="64"/>
      </patternFill>
    </fill>
    <fill>
      <patternFill patternType="solid">
        <fgColor theme="9"/>
        <bgColor indexed="64"/>
      </patternFill>
    </fill>
    <fill>
      <patternFill patternType="solid">
        <fgColor theme="6"/>
        <bgColor indexed="64"/>
      </patternFill>
    </fill>
    <fill>
      <patternFill patternType="solid">
        <fgColor theme="1" tint="0.499984740745262"/>
        <bgColor indexed="64"/>
      </patternFill>
    </fill>
    <fill>
      <patternFill patternType="solid">
        <fgColor theme="0" tint="-0.249977111117893"/>
        <bgColor indexed="64"/>
      </patternFill>
    </fill>
    <fill>
      <patternFill patternType="mediumGray">
        <bgColor theme="0" tint="-0.0499893185216834"/>
      </patternFill>
    </fill>
    <fill>
      <patternFill patternType="solid">
        <fgColor theme="9" tint="0.7999816888943144"/>
        <bgColor indexed="64"/>
      </patternFill>
    </fill>
    <fill>
      <patternFill patternType="solid">
        <fgColor indexed="65"/>
        <bgColor indexed="64"/>
      </patternFill>
    </fill>
    <fill>
      <patternFill patternType="solid">
        <fgColor theme="1" tint="0.249977111117893"/>
        <bgColor indexed="64"/>
      </patternFill>
    </fill>
    <fill>
      <patternFill patternType="solid">
        <fgColor rgb="FFFFFF00"/>
        <bgColor indexed="64"/>
      </patternFill>
    </fill>
    <fill>
      <patternFill patternType="solid">
        <fgColor rgb="FF1F4E78"/>
      </patternFill>
    </fill>
    <fill>
      <patternFill patternType="solid">
        <fgColor rgb="FFD9E1F2"/>
      </patternFill>
    </fill>
    <fill>
      <patternFill patternType="solid">
        <fgColor rgb="FFE2EFDA"/>
      </patternFill>
    </fill>
    <fill>
      <patternFill patternType="solid">
        <fgColor rgb="FF548235"/>
      </patternFill>
    </fill>
    <fill>
      <patternFill patternType="solid">
        <fgColor rgb="FFBF8F00"/>
      </patternFill>
    </fill>
    <fill>
      <patternFill patternType="solid">
        <fgColor rgb="FFC55A11"/>
      </patternFill>
    </fill>
    <fill>
      <patternFill patternType="solid">
        <fgColor rgb="FF7030A0"/>
      </patternFill>
    </fill>
    <fill>
      <patternFill patternType="solid">
        <fgColor rgb="00FFFFFF"/>
      </patternFill>
    </fill>
    <fill>
      <patternFill patternType="solid">
        <fgColor rgb="00C9A55C"/>
      </patternFill>
    </fill>
    <fill>
      <patternFill patternType="solid">
        <fgColor rgb="00E2EFDA"/>
      </patternFill>
    </fill>
    <fill>
      <patternFill patternType="solid">
        <fgColor rgb="00FFFFCC"/>
      </patternFill>
    </fill>
  </fills>
  <borders count="18">
    <border>
      <left/>
      <right/>
      <top/>
      <bottom/>
      <diagonal/>
    </border>
    <border>
      <left/>
      <right/>
      <top style="thin">
        <color indexed="64"/>
      </top>
      <bottom style="thin">
        <color indexed="64"/>
      </bottom>
      <diagonal/>
    </border>
    <border>
      <left/>
      <right/>
      <top/>
      <bottom style="thin">
        <color indexed="64"/>
      </bottom>
      <diagonal/>
    </border>
    <border>
      <left style="dashed">
        <color indexed="64"/>
      </left>
      <right style="dashed">
        <color indexed="64"/>
      </right>
      <top style="thin">
        <color indexed="64"/>
      </top>
      <bottom style="thin">
        <color indexed="64"/>
      </bottom>
      <diagonal/>
    </border>
    <border>
      <left style="dashed">
        <color indexed="64"/>
      </left>
      <right style="dashed">
        <color indexed="64"/>
      </right>
      <top/>
      <bottom/>
      <diagonal/>
    </border>
    <border>
      <left/>
      <right/>
      <top style="thin">
        <color indexed="64"/>
      </top>
      <bottom/>
      <diagonal/>
    </border>
    <border>
      <left style="dashed">
        <color indexed="64"/>
      </left>
      <right style="dashed">
        <color indexed="64"/>
      </right>
      <top style="thin">
        <color indexed="64"/>
      </top>
      <bottom/>
      <diagonal/>
    </border>
    <border>
      <left style="dotted">
        <color indexed="64"/>
      </left>
      <right style="dotted">
        <color indexed="64"/>
      </right>
      <top style="thin">
        <color indexed="64"/>
      </top>
      <bottom style="thin">
        <color indexed="64"/>
      </bottom>
      <diagonal/>
    </border>
    <border>
      <left style="dotted">
        <color indexed="64"/>
      </left>
      <right style="dotted">
        <color indexed="64"/>
      </right>
      <top style="thin">
        <color indexed="64"/>
      </top>
      <bottom/>
      <diagonal/>
    </border>
    <border>
      <left style="dotted">
        <color indexed="64"/>
      </left>
      <right style="dotted">
        <color indexed="64"/>
      </right>
      <top/>
      <bottom style="thin">
        <color indexed="64"/>
      </bottom>
      <diagonal/>
    </border>
    <border>
      <left style="dotted">
        <color indexed="64"/>
      </left>
      <right style="dotted">
        <color indexed="64"/>
      </right>
      <top/>
      <bottom/>
      <diagonal/>
    </border>
    <border>
      <left style="thin">
        <color rgb="FFBFBFBF"/>
      </left>
      <right style="thin">
        <color rgb="FFBFBFBF"/>
      </right>
      <top style="thin">
        <color rgb="FFBFBFBF"/>
      </top>
      <bottom style="thin">
        <color rgb="FFBFBFBF"/>
      </bottom>
      <diagonal/>
    </border>
    <border>
      <left/>
      <right/>
      <top style="thin">
        <color rgb="FFBFBFBF"/>
      </top>
      <bottom style="thin">
        <color rgb="FFBFBFBF"/>
      </bottom>
      <diagonal/>
    </border>
    <border>
      <left/>
      <right style="thin">
        <color rgb="FFBFBFBF"/>
      </right>
      <top style="thin">
        <color rgb="FFBFBFBF"/>
      </top>
      <bottom style="thin">
        <color rgb="FFBFBFBF"/>
      </bottom>
      <diagonal/>
    </border>
    <border>
      <left/>
      <right/>
      <top style="thin">
        <color rgb="FFBFBFBF"/>
      </top>
      <bottom/>
      <diagonal/>
    </border>
    <border>
      <left/>
      <right style="thin">
        <color rgb="FFBFBFBF"/>
      </right>
      <top style="thin">
        <color rgb="FFBFBFBF"/>
      </top>
      <bottom/>
      <diagonal/>
    </border>
    <border/>
    <border>
      <left style="thin">
        <color rgb="00BFBFBF"/>
      </left>
      <right style="thin">
        <color rgb="00BFBFBF"/>
      </right>
      <top style="thin">
        <color rgb="00BFBFBF"/>
      </top>
      <bottom style="thin">
        <color rgb="00BFBFBF"/>
      </bottom>
    </border>
  </borders>
  <cellStyleXfs count="5">
    <xf numFmtId="0" fontId="1" fillId="0" borderId="0"/>
    <xf numFmtId="0" fontId="1" fillId="0" borderId="0"/>
    <xf numFmtId="0" fontId="3" fillId="0" borderId="0"/>
    <xf numFmtId="0" fontId="2" fillId="0" borderId="0"/>
    <xf numFmtId="9" fontId="1" fillId="0" borderId="0"/>
  </cellStyleXfs>
  <cellXfs count="265">
    <xf numFmtId="0" fontId="0" fillId="0" borderId="0" pivotButton="0" quotePrefix="0" xfId="0"/>
    <xf numFmtId="164" fontId="5" fillId="0" borderId="0" applyAlignment="1" pivotButton="0" quotePrefix="0" xfId="0">
      <alignment horizontal="center" vertical="center"/>
    </xf>
    <xf numFmtId="164" fontId="8" fillId="0" borderId="0" applyAlignment="1" pivotButton="0" quotePrefix="0" xfId="0">
      <alignment horizontal="center" vertical="center"/>
    </xf>
    <xf numFmtId="164" fontId="6" fillId="2" borderId="1" applyAlignment="1" pivotButton="0" quotePrefix="0" xfId="0">
      <alignment horizontal="center" vertical="center"/>
    </xf>
    <xf numFmtId="164" fontId="5" fillId="0" borderId="1" applyAlignment="1" pivotButton="0" quotePrefix="0" xfId="0">
      <alignment horizontal="center" vertical="center"/>
    </xf>
    <xf numFmtId="165" fontId="4" fillId="3" borderId="1" applyAlignment="1" pivotButton="0" quotePrefix="0" xfId="0">
      <alignment horizontal="center" vertical="center"/>
    </xf>
    <xf numFmtId="166" fontId="9" fillId="9" borderId="0" applyAlignment="1" pivotButton="0" quotePrefix="0" xfId="1">
      <alignment horizontal="right" vertical="center"/>
    </xf>
    <xf numFmtId="166" fontId="9" fillId="9" borderId="0" applyAlignment="1" pivotButton="0" quotePrefix="0" xfId="1">
      <alignment horizontal="center" vertical="center"/>
    </xf>
    <xf numFmtId="166" fontId="2" fillId="0" borderId="0" applyAlignment="1" pivotButton="0" quotePrefix="0" xfId="1">
      <alignment horizontal="center" vertical="center"/>
    </xf>
    <xf numFmtId="166" fontId="9" fillId="4" borderId="0" applyAlignment="1" pivotButton="0" quotePrefix="0" xfId="1">
      <alignment horizontal="right" vertical="center"/>
    </xf>
    <xf numFmtId="166" fontId="10" fillId="4" borderId="0" applyAlignment="1" pivotButton="0" quotePrefix="0" xfId="1">
      <alignment horizontal="right" vertical="center"/>
    </xf>
    <xf numFmtId="166" fontId="10" fillId="4" borderId="0" applyAlignment="1" pivotButton="0" quotePrefix="0" xfId="1">
      <alignment horizontal="center" vertical="center"/>
    </xf>
    <xf numFmtId="166" fontId="11" fillId="0" borderId="0" applyAlignment="1" pivotButton="0" quotePrefix="0" xfId="1">
      <alignment horizontal="right" vertical="center"/>
    </xf>
    <xf numFmtId="166" fontId="2" fillId="0" borderId="0" applyAlignment="1" pivotButton="0" quotePrefix="0" xfId="1">
      <alignment horizontal="right" vertical="center"/>
    </xf>
    <xf numFmtId="166" fontId="9" fillId="9" borderId="1" applyAlignment="1" pivotButton="0" quotePrefix="0" xfId="1">
      <alignment horizontal="right" vertical="center"/>
    </xf>
    <xf numFmtId="166" fontId="9" fillId="9" borderId="1" applyAlignment="1" pivotButton="0" quotePrefix="0" xfId="1">
      <alignment horizontal="center" vertical="center"/>
    </xf>
    <xf numFmtId="166" fontId="12" fillId="0" borderId="0" applyAlignment="1" pivotButton="0" quotePrefix="0" xfId="1">
      <alignment horizontal="center" vertical="center"/>
    </xf>
    <xf numFmtId="167" fontId="2" fillId="0" borderId="0" applyAlignment="1" pivotButton="0" quotePrefix="0" xfId="1">
      <alignment horizontal="center" vertical="center"/>
    </xf>
    <xf numFmtId="166" fontId="11" fillId="2" borderId="1" applyAlignment="1" pivotButton="0" quotePrefix="0" xfId="1">
      <alignment horizontal="right" vertical="center"/>
    </xf>
    <xf numFmtId="166" fontId="11" fillId="2" borderId="1" applyAlignment="1" pivotButton="0" quotePrefix="0" xfId="1">
      <alignment horizontal="center" vertical="center"/>
    </xf>
    <xf numFmtId="165" fontId="12" fillId="0" borderId="0" applyAlignment="1" pivotButton="0" quotePrefix="0" xfId="1">
      <alignment horizontal="center" vertical="center"/>
    </xf>
    <xf numFmtId="165" fontId="13" fillId="0" borderId="0" applyAlignment="1" pivotButton="0" quotePrefix="0" xfId="1">
      <alignment horizontal="center" vertical="center"/>
    </xf>
    <xf numFmtId="166" fontId="2" fillId="6" borderId="0" applyAlignment="1" pivotButton="0" quotePrefix="0" xfId="1">
      <alignment horizontal="center" vertical="center"/>
    </xf>
    <xf numFmtId="166" fontId="9" fillId="3" borderId="1" applyAlignment="1" pivotButton="0" quotePrefix="0" xfId="1">
      <alignment horizontal="right" vertical="center"/>
    </xf>
    <xf numFmtId="166" fontId="9" fillId="3" borderId="1" applyAlignment="1" pivotButton="0" quotePrefix="0" xfId="1">
      <alignment horizontal="center" vertical="center"/>
    </xf>
    <xf numFmtId="166" fontId="2" fillId="0" borderId="2" applyAlignment="1" pivotButton="0" quotePrefix="0" xfId="1">
      <alignment horizontal="right" vertical="center"/>
    </xf>
    <xf numFmtId="166" fontId="2" fillId="0" borderId="2" applyAlignment="1" pivotButton="0" quotePrefix="0" xfId="1">
      <alignment horizontal="center" vertical="center"/>
    </xf>
    <xf numFmtId="166" fontId="2" fillId="6" borderId="2" applyAlignment="1" pivotButton="0" quotePrefix="0" xfId="1">
      <alignment horizontal="center" vertical="center"/>
    </xf>
    <xf numFmtId="166" fontId="13" fillId="6" borderId="0" applyAlignment="1" pivotButton="0" quotePrefix="0" xfId="1">
      <alignment horizontal="center" vertical="center"/>
    </xf>
    <xf numFmtId="166" fontId="11" fillId="0" borderId="1" applyAlignment="1" pivotButton="0" quotePrefix="0" xfId="1">
      <alignment horizontal="right" vertical="center"/>
    </xf>
    <xf numFmtId="165" fontId="12" fillId="0" borderId="2" applyAlignment="1" pivotButton="0" quotePrefix="0" xfId="1">
      <alignment horizontal="center" vertical="center"/>
    </xf>
    <xf numFmtId="165" fontId="11" fillId="2" borderId="1" applyAlignment="1" pivotButton="0" quotePrefix="0" xfId="1">
      <alignment horizontal="center" vertical="center"/>
    </xf>
    <xf numFmtId="166" fontId="11" fillId="0" borderId="2" applyAlignment="1" pivotButton="0" quotePrefix="0" xfId="1">
      <alignment horizontal="center" vertical="center"/>
    </xf>
    <xf numFmtId="166" fontId="15" fillId="0" borderId="0" applyAlignment="1" pivotButton="0" quotePrefix="0" xfId="1">
      <alignment horizontal="center" vertical="center"/>
    </xf>
    <xf numFmtId="166" fontId="13" fillId="0" borderId="0" applyAlignment="1" pivotButton="0" quotePrefix="0" xfId="1">
      <alignment horizontal="center" vertical="center"/>
    </xf>
    <xf numFmtId="166" fontId="14" fillId="2" borderId="1" applyAlignment="1" pivotButton="0" quotePrefix="0" xfId="1">
      <alignment horizontal="center" vertical="center"/>
    </xf>
    <xf numFmtId="166" fontId="9" fillId="9" borderId="5" applyAlignment="1" pivotButton="0" quotePrefix="0" xfId="1">
      <alignment horizontal="right" vertical="center"/>
    </xf>
    <xf numFmtId="166" fontId="9" fillId="9" borderId="5" applyAlignment="1" pivotButton="0" quotePrefix="0" xfId="1">
      <alignment horizontal="center" vertical="center"/>
    </xf>
    <xf numFmtId="166" fontId="11" fillId="0" borderId="5" applyAlignment="1" pivotButton="0" quotePrefix="0" xfId="1">
      <alignment horizontal="right" vertical="center"/>
    </xf>
    <xf numFmtId="166" fontId="11" fillId="0" borderId="5" applyAlignment="1" pivotButton="0" quotePrefix="0" xfId="1">
      <alignment horizontal="center" vertical="center"/>
    </xf>
    <xf numFmtId="166" fontId="11" fillId="0" borderId="2" applyAlignment="1" pivotButton="0" quotePrefix="0" xfId="1">
      <alignment horizontal="right" vertical="center"/>
    </xf>
    <xf numFmtId="166" fontId="14" fillId="8" borderId="1" applyAlignment="1" pivotButton="0" quotePrefix="0" xfId="1">
      <alignment horizontal="right" vertical="center"/>
    </xf>
    <xf numFmtId="166" fontId="14" fillId="8" borderId="3" applyAlignment="1" pivotButton="0" quotePrefix="0" xfId="1">
      <alignment horizontal="center" vertical="center"/>
    </xf>
    <xf numFmtId="166" fontId="14" fillId="8" borderId="1" applyAlignment="1" pivotButton="0" quotePrefix="0" xfId="1">
      <alignment horizontal="center" vertical="center"/>
    </xf>
    <xf numFmtId="166" fontId="13" fillId="0" borderId="5" applyAlignment="1" pivotButton="0" quotePrefix="0" xfId="1">
      <alignment horizontal="right" vertical="center"/>
    </xf>
    <xf numFmtId="165" fontId="8" fillId="6" borderId="5" applyAlignment="1" pivotButton="0" quotePrefix="0" xfId="0">
      <alignment horizontal="center" vertical="center"/>
    </xf>
    <xf numFmtId="165" fontId="12" fillId="0" borderId="5" applyAlignment="1" pivotButton="0" quotePrefix="0" xfId="1">
      <alignment horizontal="center" vertical="center"/>
    </xf>
    <xf numFmtId="166" fontId="13" fillId="0" borderId="0" applyAlignment="1" pivotButton="0" quotePrefix="0" xfId="1">
      <alignment horizontal="right" vertical="center"/>
    </xf>
    <xf numFmtId="166" fontId="13" fillId="0" borderId="4" applyAlignment="1" pivotButton="0" quotePrefix="0" xfId="1">
      <alignment horizontal="center" vertical="center"/>
    </xf>
    <xf numFmtId="165" fontId="8" fillId="6" borderId="0" applyAlignment="1" pivotButton="0" quotePrefix="0" xfId="0">
      <alignment horizontal="center" vertical="center"/>
    </xf>
    <xf numFmtId="166" fontId="14" fillId="2" borderId="1" applyAlignment="1" pivotButton="0" quotePrefix="0" xfId="1">
      <alignment horizontal="right" vertical="center"/>
    </xf>
    <xf numFmtId="166" fontId="14" fillId="2" borderId="3" applyAlignment="1" pivotButton="0" quotePrefix="0" xfId="1">
      <alignment horizontal="center" vertical="center"/>
    </xf>
    <xf numFmtId="165" fontId="7" fillId="7" borderId="1" applyAlignment="1" pivotButton="0" quotePrefix="0" xfId="0">
      <alignment horizontal="center" vertical="center"/>
    </xf>
    <xf numFmtId="166" fontId="13" fillId="0" borderId="1" applyAlignment="1" pivotButton="0" quotePrefix="0" xfId="1">
      <alignment horizontal="right" vertical="center"/>
    </xf>
    <xf numFmtId="166" fontId="11" fillId="0" borderId="3" applyAlignment="1" pivotButton="0" quotePrefix="0" xfId="1">
      <alignment horizontal="center" vertical="center"/>
    </xf>
    <xf numFmtId="165" fontId="2" fillId="6" borderId="1" applyAlignment="1" pivotButton="0" quotePrefix="0" xfId="1">
      <alignment horizontal="center" vertical="center"/>
    </xf>
    <xf numFmtId="165" fontId="12" fillId="0" borderId="1" applyAlignment="1" pivotButton="0" quotePrefix="0" xfId="1">
      <alignment horizontal="center" vertical="center"/>
    </xf>
    <xf numFmtId="166" fontId="14" fillId="0" borderId="0" applyAlignment="1" pivotButton="0" quotePrefix="0" xfId="1">
      <alignment horizontal="right" vertical="center"/>
    </xf>
    <xf numFmtId="168" fontId="13" fillId="0" borderId="0" applyAlignment="1" pivotButton="0" quotePrefix="0" xfId="1">
      <alignment horizontal="right" vertical="center"/>
    </xf>
    <xf numFmtId="166" fontId="9" fillId="10" borderId="1" applyAlignment="1" pivotButton="0" quotePrefix="0" xfId="1">
      <alignment horizontal="right" vertical="center"/>
    </xf>
    <xf numFmtId="166" fontId="9" fillId="10" borderId="1" applyAlignment="1" pivotButton="0" quotePrefix="0" xfId="1">
      <alignment horizontal="center" vertical="center"/>
    </xf>
    <xf numFmtId="164" fontId="6" fillId="13" borderId="1" applyAlignment="1" pivotButton="0" quotePrefix="0" xfId="0">
      <alignment horizontal="center" vertical="center"/>
    </xf>
    <xf numFmtId="167" fontId="12" fillId="0" borderId="2" applyAlignment="1" pivotButton="0" quotePrefix="0" xfId="1">
      <alignment horizontal="center" vertical="center"/>
    </xf>
    <xf numFmtId="166" fontId="9" fillId="14" borderId="1" applyAlignment="1" pivotButton="0" quotePrefix="0" xfId="1">
      <alignment horizontal="right" vertical="center"/>
    </xf>
    <xf numFmtId="166" fontId="12" fillId="5" borderId="2" applyAlignment="1" pivotButton="0" quotePrefix="0" xfId="1">
      <alignment horizontal="center" vertical="center"/>
    </xf>
    <xf numFmtId="166" fontId="13" fillId="0" borderId="2" applyAlignment="1" pivotButton="0" quotePrefix="0" xfId="1">
      <alignment horizontal="center" vertical="center"/>
    </xf>
    <xf numFmtId="167" fontId="8" fillId="0" borderId="0" applyAlignment="1" pivotButton="0" quotePrefix="0" xfId="0">
      <alignment horizontal="center" vertical="center"/>
    </xf>
    <xf numFmtId="164" fontId="8" fillId="0" borderId="5" applyAlignment="1" pivotButton="0" quotePrefix="0" xfId="0">
      <alignment horizontal="center" vertical="center"/>
    </xf>
    <xf numFmtId="166" fontId="9" fillId="3" borderId="2" applyAlignment="1" pivotButton="0" quotePrefix="0" xfId="1">
      <alignment horizontal="right" vertical="center"/>
    </xf>
    <xf numFmtId="169" fontId="2" fillId="0" borderId="0" applyAlignment="1" pivotButton="0" quotePrefix="0" xfId="1">
      <alignment horizontal="center" vertical="center"/>
    </xf>
    <xf numFmtId="166" fontId="2" fillId="0" borderId="5" applyAlignment="1" pivotButton="0" quotePrefix="0" xfId="1">
      <alignment horizontal="center" vertical="center"/>
    </xf>
    <xf numFmtId="168" fontId="9" fillId="9" borderId="5" applyAlignment="1" pivotButton="0" quotePrefix="0" xfId="1">
      <alignment horizontal="center" vertical="center"/>
    </xf>
    <xf numFmtId="166" fontId="11" fillId="0" borderId="1" applyAlignment="1" pivotButton="0" quotePrefix="0" xfId="1">
      <alignment horizontal="center" vertical="center"/>
    </xf>
    <xf numFmtId="166" fontId="4" fillId="9" borderId="5" applyAlignment="1" pivotButton="0" quotePrefix="0" xfId="0">
      <alignment horizontal="right" vertical="center"/>
    </xf>
    <xf numFmtId="166" fontId="4" fillId="9" borderId="5" applyAlignment="1" pivotButton="0" quotePrefix="0" xfId="0">
      <alignment horizontal="center" vertical="center"/>
    </xf>
    <xf numFmtId="166" fontId="4" fillId="17" borderId="1" applyAlignment="1" pivotButton="0" quotePrefix="0" xfId="0">
      <alignment horizontal="right" vertical="center"/>
    </xf>
    <xf numFmtId="166" fontId="18" fillId="17" borderId="1" applyAlignment="1" pivotButton="0" quotePrefix="0" xfId="0">
      <alignment horizontal="center" vertical="center"/>
    </xf>
    <xf numFmtId="166" fontId="4" fillId="17" borderId="1" applyAlignment="1" pivotButton="0" quotePrefix="0" xfId="0">
      <alignment horizontal="center" vertical="center"/>
    </xf>
    <xf numFmtId="166" fontId="1" fillId="0" borderId="0" applyAlignment="1" pivotButton="0" quotePrefix="0" xfId="0">
      <alignment horizontal="right" vertical="center"/>
    </xf>
    <xf numFmtId="166" fontId="1" fillId="0" borderId="0" applyAlignment="1" pivotButton="0" quotePrefix="0" xfId="0">
      <alignment horizontal="center" vertical="center"/>
    </xf>
    <xf numFmtId="165" fontId="1" fillId="0" borderId="0" applyAlignment="1" pivotButton="0" quotePrefix="0" xfId="0">
      <alignment horizontal="center" vertical="center"/>
    </xf>
    <xf numFmtId="166" fontId="2" fillId="0" borderId="5" applyAlignment="1" pivotButton="0" quotePrefix="0" xfId="1">
      <alignment horizontal="right" vertical="center"/>
    </xf>
    <xf numFmtId="166" fontId="18" fillId="2" borderId="1" applyAlignment="1" pivotButton="0" quotePrefix="0" xfId="0">
      <alignment horizontal="right" vertical="center"/>
    </xf>
    <xf numFmtId="166" fontId="18" fillId="2" borderId="1" applyAlignment="1" pivotButton="0" quotePrefix="0" xfId="0">
      <alignment horizontal="center" vertical="center"/>
    </xf>
    <xf numFmtId="165" fontId="18" fillId="2" borderId="1" applyAlignment="1" pivotButton="0" quotePrefix="0" xfId="0">
      <alignment horizontal="center" vertical="center"/>
    </xf>
    <xf numFmtId="165" fontId="18" fillId="17" borderId="1" applyAlignment="1" pivotButton="0" quotePrefix="0" xfId="0">
      <alignment horizontal="center" vertical="center"/>
    </xf>
    <xf numFmtId="166" fontId="5" fillId="0" borderId="0" applyAlignment="1" pivotButton="0" quotePrefix="0" xfId="0">
      <alignment horizontal="right" vertical="center"/>
    </xf>
    <xf numFmtId="167" fontId="9" fillId="3" borderId="1" applyAlignment="1" pivotButton="0" quotePrefix="0" xfId="1">
      <alignment horizontal="center" vertical="center"/>
    </xf>
    <xf numFmtId="166" fontId="2" fillId="2" borderId="1" applyAlignment="1" pivotButton="0" quotePrefix="0" xfId="1">
      <alignment horizontal="right" vertical="center"/>
    </xf>
    <xf numFmtId="166" fontId="2" fillId="2" borderId="1" applyAlignment="1" pivotButton="0" quotePrefix="0" xfId="1">
      <alignment horizontal="center" vertical="center"/>
    </xf>
    <xf numFmtId="166" fontId="4" fillId="3" borderId="1" applyAlignment="1" pivotButton="0" quotePrefix="0" xfId="0">
      <alignment horizontal="right" vertical="center"/>
    </xf>
    <xf numFmtId="166" fontId="4" fillId="3" borderId="1" applyAlignment="1" pivotButton="0" quotePrefix="0" xfId="0">
      <alignment horizontal="center" vertical="center"/>
    </xf>
    <xf numFmtId="166" fontId="14" fillId="5" borderId="3" applyAlignment="1" pivotButton="0" quotePrefix="0" xfId="1">
      <alignment horizontal="center" vertical="center"/>
    </xf>
    <xf numFmtId="167" fontId="2" fillId="0" borderId="4" applyAlignment="1" pivotButton="0" quotePrefix="0" xfId="1">
      <alignment horizontal="center" vertical="center"/>
    </xf>
    <xf numFmtId="167" fontId="9" fillId="14" borderId="3" applyAlignment="1" pivotButton="0" quotePrefix="0" xfId="1">
      <alignment horizontal="center" vertical="center"/>
    </xf>
    <xf numFmtId="168" fontId="13" fillId="5" borderId="4" applyAlignment="1" pivotButton="0" quotePrefix="0" xfId="1">
      <alignment horizontal="center" vertical="center"/>
    </xf>
    <xf numFmtId="166" fontId="14" fillId="13" borderId="1" applyAlignment="1" pivotButton="0" quotePrefix="0" xfId="1">
      <alignment horizontal="right" vertical="center"/>
    </xf>
    <xf numFmtId="166" fontId="14" fillId="13" borderId="1" applyAlignment="1" pivotButton="0" quotePrefix="0" xfId="1">
      <alignment horizontal="center" vertical="center"/>
    </xf>
    <xf numFmtId="164" fontId="4" fillId="9" borderId="5" applyAlignment="1" pivotButton="0" quotePrefix="0" xfId="0">
      <alignment horizontal="right" vertical="center" wrapText="1"/>
    </xf>
    <xf numFmtId="164" fontId="4" fillId="9" borderId="5" applyAlignment="1" pivotButton="0" quotePrefix="0" xfId="0">
      <alignment horizontal="center" vertical="center" wrapText="1"/>
    </xf>
    <xf numFmtId="164" fontId="6" fillId="2" borderId="1" applyAlignment="1" pivotButton="0" quotePrefix="0" xfId="0">
      <alignment horizontal="right" vertical="center" wrapText="1"/>
    </xf>
    <xf numFmtId="164" fontId="6" fillId="0" borderId="0" applyAlignment="1" pivotButton="0" quotePrefix="0" xfId="0">
      <alignment horizontal="right" vertical="center" wrapText="1"/>
    </xf>
    <xf numFmtId="165" fontId="8" fillId="0" borderId="0" applyAlignment="1" pivotButton="0" quotePrefix="0" xfId="4">
      <alignment horizontal="center" vertical="center"/>
    </xf>
    <xf numFmtId="170" fontId="5" fillId="0" borderId="0" applyAlignment="1" pivotButton="0" quotePrefix="0" xfId="0">
      <alignment horizontal="center" vertical="center"/>
    </xf>
    <xf numFmtId="171" fontId="8" fillId="0" borderId="0" applyAlignment="1" pivotButton="0" quotePrefix="0" xfId="0">
      <alignment horizontal="center" vertical="center"/>
    </xf>
    <xf numFmtId="164" fontId="4" fillId="18" borderId="1" applyAlignment="1" pivotButton="0" quotePrefix="0" xfId="0">
      <alignment horizontal="right" vertical="center" wrapText="1"/>
    </xf>
    <xf numFmtId="164" fontId="4" fillId="18" borderId="1" applyAlignment="1" pivotButton="0" quotePrefix="0" xfId="0">
      <alignment horizontal="center" vertical="center"/>
    </xf>
    <xf numFmtId="164" fontId="5" fillId="0" borderId="0" applyAlignment="1" pivotButton="0" quotePrefix="0" xfId="0">
      <alignment horizontal="right" vertical="center" wrapText="1"/>
    </xf>
    <xf numFmtId="164" fontId="6" fillId="0" borderId="1" applyAlignment="1" pivotButton="0" quotePrefix="0" xfId="0">
      <alignment horizontal="right" vertical="center" wrapText="1"/>
    </xf>
    <xf numFmtId="164" fontId="6" fillId="15" borderId="1" applyAlignment="1" pivotButton="0" quotePrefix="0" xfId="0">
      <alignment horizontal="right" vertical="center" wrapText="1"/>
    </xf>
    <xf numFmtId="170" fontId="6" fillId="15" borderId="1" applyAlignment="1" pivotButton="0" quotePrefix="0" xfId="0">
      <alignment horizontal="center" vertical="center"/>
    </xf>
    <xf numFmtId="165" fontId="2" fillId="0" borderId="0" applyAlignment="1" pivotButton="0" quotePrefix="0" xfId="1">
      <alignment horizontal="center" vertical="center"/>
    </xf>
    <xf numFmtId="166" fontId="13" fillId="0" borderId="5" applyAlignment="1" pivotButton="0" quotePrefix="0" xfId="1">
      <alignment horizontal="center" vertical="center"/>
    </xf>
    <xf numFmtId="166" fontId="13" fillId="5" borderId="0" applyAlignment="1" pivotButton="0" quotePrefix="0" xfId="1">
      <alignment horizontal="center" vertical="center"/>
    </xf>
    <xf numFmtId="166" fontId="14" fillId="19" borderId="1" applyAlignment="1" pivotButton="0" quotePrefix="0" xfId="1">
      <alignment horizontal="right" vertical="center"/>
    </xf>
    <xf numFmtId="166" fontId="14" fillId="19" borderId="1" applyAlignment="1" pivotButton="0" quotePrefix="0" xfId="1">
      <alignment horizontal="center" vertical="center"/>
    </xf>
    <xf numFmtId="167" fontId="14" fillId="0" borderId="0" applyAlignment="1" pivotButton="0" quotePrefix="0" xfId="1">
      <alignment horizontal="center" vertical="center"/>
    </xf>
    <xf numFmtId="10" fontId="2" fillId="0" borderId="0" applyAlignment="1" pivotButton="0" quotePrefix="0" xfId="4">
      <alignment horizontal="center" vertical="center"/>
    </xf>
    <xf numFmtId="165" fontId="12" fillId="5" borderId="1" applyAlignment="1" pivotButton="0" quotePrefix="0" xfId="1">
      <alignment horizontal="center" vertical="center"/>
    </xf>
    <xf numFmtId="166" fontId="9" fillId="9" borderId="8" applyAlignment="1" pivotButton="0" quotePrefix="0" xfId="1">
      <alignment horizontal="center" vertical="center"/>
    </xf>
    <xf numFmtId="166" fontId="9" fillId="10" borderId="7" applyAlignment="1" pivotButton="0" quotePrefix="0" xfId="1">
      <alignment horizontal="center" vertical="center"/>
    </xf>
    <xf numFmtId="166" fontId="2" fillId="0" borderId="10" applyAlignment="1" pivotButton="0" quotePrefix="0" xfId="1">
      <alignment horizontal="center" vertical="center"/>
    </xf>
    <xf numFmtId="165" fontId="12" fillId="0" borderId="10" applyAlignment="1" pivotButton="0" quotePrefix="0" xfId="1">
      <alignment horizontal="center" vertical="center"/>
    </xf>
    <xf numFmtId="166" fontId="11" fillId="0" borderId="8" applyAlignment="1" pivotButton="0" quotePrefix="0" xfId="1">
      <alignment horizontal="center" vertical="center"/>
    </xf>
    <xf numFmtId="166" fontId="11" fillId="2" borderId="7" applyAlignment="1" pivotButton="0" quotePrefix="0" xfId="1">
      <alignment horizontal="center" vertical="center"/>
    </xf>
    <xf numFmtId="166" fontId="17" fillId="10" borderId="7" applyAlignment="1" pivotButton="0" quotePrefix="0" xfId="1">
      <alignment horizontal="center" vertical="center"/>
    </xf>
    <xf numFmtId="166" fontId="12" fillId="5" borderId="10" applyAlignment="1" pivotButton="0" quotePrefix="0" xfId="1">
      <alignment horizontal="center" vertical="center"/>
    </xf>
    <xf numFmtId="166" fontId="16" fillId="0" borderId="0" applyAlignment="1" pivotButton="0" quotePrefix="0" xfId="1">
      <alignment horizontal="center" vertical="center"/>
    </xf>
    <xf numFmtId="168" fontId="16" fillId="0" borderId="10" applyAlignment="1" pivotButton="0" quotePrefix="0" xfId="1">
      <alignment horizontal="center" vertical="center"/>
    </xf>
    <xf numFmtId="166" fontId="14" fillId="13" borderId="7" applyAlignment="1" pivotButton="0" quotePrefix="0" xfId="1">
      <alignment horizontal="center" vertical="center"/>
    </xf>
    <xf numFmtId="165" fontId="13" fillId="0" borderId="10" applyAlignment="1" pivotButton="0" quotePrefix="0" xfId="1">
      <alignment horizontal="center" vertical="center"/>
    </xf>
    <xf numFmtId="165" fontId="12" fillId="11" borderId="0" applyAlignment="1" pivotButton="0" quotePrefix="0" xfId="1">
      <alignment horizontal="center" vertical="center"/>
    </xf>
    <xf numFmtId="166" fontId="2" fillId="11" borderId="0" applyAlignment="1" pivotButton="0" quotePrefix="0" xfId="1">
      <alignment horizontal="center" vertical="center"/>
    </xf>
    <xf numFmtId="165" fontId="12" fillId="5" borderId="10" applyAlignment="1" pivotButton="0" quotePrefix="0" xfId="1">
      <alignment horizontal="center" vertical="center"/>
    </xf>
    <xf numFmtId="166" fontId="19" fillId="5" borderId="10" applyAlignment="1" pivotButton="0" quotePrefix="0" xfId="1">
      <alignment horizontal="center" vertical="center"/>
    </xf>
    <xf numFmtId="166" fontId="12" fillId="0" borderId="10" applyAlignment="1" pivotButton="0" quotePrefix="0" xfId="1">
      <alignment horizontal="center" vertical="center"/>
    </xf>
    <xf numFmtId="167" fontId="11" fillId="2" borderId="7" applyAlignment="1" pivotButton="0" quotePrefix="0" xfId="1">
      <alignment horizontal="center" vertical="center"/>
    </xf>
    <xf numFmtId="166" fontId="9" fillId="3" borderId="7" applyAlignment="1" pivotButton="0" quotePrefix="0" xfId="1">
      <alignment horizontal="center" vertical="center"/>
    </xf>
    <xf numFmtId="165" fontId="13" fillId="0" borderId="9" applyAlignment="1" pivotButton="0" quotePrefix="0" xfId="1">
      <alignment horizontal="center" vertical="center"/>
    </xf>
    <xf numFmtId="166" fontId="11" fillId="16" borderId="1" applyAlignment="1" pivotButton="0" quotePrefix="0" xfId="1">
      <alignment horizontal="center" vertical="center"/>
    </xf>
    <xf numFmtId="166" fontId="12" fillId="0" borderId="5" applyAlignment="1" pivotButton="0" quotePrefix="0" xfId="1">
      <alignment horizontal="center" vertical="center"/>
    </xf>
    <xf numFmtId="166" fontId="5" fillId="0" borderId="2" applyAlignment="1" pivotButton="0" quotePrefix="0" xfId="0">
      <alignment horizontal="right" vertical="center"/>
    </xf>
    <xf numFmtId="166" fontId="9" fillId="3" borderId="2" applyAlignment="1" pivotButton="0" quotePrefix="0" xfId="1">
      <alignment horizontal="center" vertical="center"/>
    </xf>
    <xf numFmtId="166" fontId="2" fillId="0" borderId="0" applyAlignment="1" pivotButton="0" quotePrefix="1" xfId="1">
      <alignment horizontal="center" vertical="center"/>
    </xf>
    <xf numFmtId="166" fontId="18" fillId="13" borderId="1" applyAlignment="1" pivotButton="0" quotePrefix="0" xfId="0">
      <alignment horizontal="right" vertical="center"/>
    </xf>
    <xf numFmtId="166" fontId="18" fillId="13" borderId="1" applyAlignment="1" pivotButton="0" quotePrefix="0" xfId="0">
      <alignment horizontal="center" vertical="center"/>
    </xf>
    <xf numFmtId="165" fontId="18" fillId="13" borderId="1" applyAlignment="1" pivotButton="0" quotePrefix="0" xfId="0">
      <alignment horizontal="center" vertical="center"/>
    </xf>
    <xf numFmtId="166" fontId="14" fillId="12" borderId="1" applyAlignment="1" pivotButton="0" quotePrefix="0" xfId="1">
      <alignment horizontal="right" vertical="center"/>
    </xf>
    <xf numFmtId="166" fontId="14" fillId="12" borderId="3" applyAlignment="1" pivotButton="0" quotePrefix="0" xfId="1">
      <alignment horizontal="center" vertical="center"/>
    </xf>
    <xf numFmtId="166" fontId="14" fillId="12" borderId="1" applyAlignment="1" pivotButton="0" quotePrefix="0" xfId="1">
      <alignment horizontal="center" vertical="center"/>
    </xf>
    <xf numFmtId="166" fontId="9" fillId="0" borderId="0" applyAlignment="1" pivotButton="0" quotePrefix="0" xfId="1">
      <alignment horizontal="right" vertical="center"/>
    </xf>
    <xf numFmtId="166" fontId="9" fillId="0" borderId="0" applyAlignment="1" pivotButton="0" quotePrefix="0" xfId="1">
      <alignment horizontal="center" vertical="center"/>
    </xf>
    <xf numFmtId="166" fontId="12" fillId="5" borderId="0" applyAlignment="1" pivotButton="0" quotePrefix="0" xfId="1">
      <alignment horizontal="center" vertical="center"/>
    </xf>
    <xf numFmtId="166" fontId="11" fillId="0" borderId="0" applyAlignment="1" pivotButton="0" quotePrefix="0" xfId="1">
      <alignment horizontal="center" vertical="center"/>
    </xf>
    <xf numFmtId="166" fontId="14" fillId="0" borderId="2" applyAlignment="1" pivotButton="0" quotePrefix="0" xfId="1">
      <alignment horizontal="right" vertical="center"/>
    </xf>
    <xf numFmtId="166" fontId="14" fillId="0" borderId="2" applyAlignment="1" pivotButton="0" quotePrefix="0" xfId="1">
      <alignment horizontal="center" vertical="center"/>
    </xf>
    <xf numFmtId="166" fontId="14" fillId="20" borderId="2" applyAlignment="1" pivotButton="0" quotePrefix="0" xfId="1">
      <alignment horizontal="center" vertical="center"/>
    </xf>
    <xf numFmtId="166" fontId="11" fillId="0" borderId="10" applyAlignment="1" pivotButton="0" quotePrefix="0" xfId="1">
      <alignment horizontal="center" vertical="center"/>
    </xf>
    <xf numFmtId="164" fontId="4" fillId="9" borderId="6" applyAlignment="1" pivotButton="0" quotePrefix="0" xfId="0">
      <alignment horizontal="center" vertical="center" wrapText="1"/>
    </xf>
    <xf numFmtId="172" fontId="12" fillId="0" borderId="0" applyAlignment="1" pivotButton="0" quotePrefix="0" xfId="4">
      <alignment horizontal="center" vertical="center"/>
    </xf>
    <xf numFmtId="164" fontId="18" fillId="2" borderId="1" applyAlignment="1" pivotButton="0" quotePrefix="0" xfId="0">
      <alignment horizontal="center" vertical="center"/>
    </xf>
    <xf numFmtId="164" fontId="6" fillId="2" borderId="3" applyAlignment="1" pivotButton="0" quotePrefix="0" xfId="0">
      <alignment horizontal="center" vertical="center"/>
    </xf>
    <xf numFmtId="165" fontId="5" fillId="0" borderId="4" applyAlignment="1" pivotButton="0" quotePrefix="0" xfId="4">
      <alignment horizontal="center" vertical="center"/>
    </xf>
    <xf numFmtId="164" fontId="5" fillId="0" borderId="4" applyAlignment="1" pivotButton="0" quotePrefix="0" xfId="0">
      <alignment horizontal="center" vertical="center"/>
    </xf>
    <xf numFmtId="169" fontId="2" fillId="0" borderId="4" applyAlignment="1" pivotButton="0" quotePrefix="0" xfId="1">
      <alignment horizontal="center" vertical="center"/>
    </xf>
    <xf numFmtId="166" fontId="11" fillId="21" borderId="1" applyAlignment="1" pivotButton="0" quotePrefix="0" xfId="1">
      <alignment horizontal="right" vertical="center"/>
    </xf>
    <xf numFmtId="9" fontId="11" fillId="21" borderId="1" applyAlignment="1" pivotButton="0" quotePrefix="0" xfId="4">
      <alignment horizontal="center" vertical="center"/>
    </xf>
    <xf numFmtId="9" fontId="11" fillId="21" borderId="3" applyAlignment="1" pivotButton="0" quotePrefix="0" xfId="4">
      <alignment horizontal="center" vertical="center"/>
    </xf>
    <xf numFmtId="170" fontId="5" fillId="0" borderId="4" applyAlignment="1" pivotButton="0" quotePrefix="0" xfId="0">
      <alignment horizontal="center" vertical="center"/>
    </xf>
    <xf numFmtId="172" fontId="8" fillId="0" borderId="0" applyAlignment="1" pivotButton="0" quotePrefix="0" xfId="4">
      <alignment horizontal="center" vertical="center"/>
    </xf>
    <xf numFmtId="164" fontId="5" fillId="11" borderId="4" applyAlignment="1" pivotButton="0" quotePrefix="0" xfId="0">
      <alignment horizontal="center" vertical="center"/>
    </xf>
    <xf numFmtId="164" fontId="6" fillId="13" borderId="1" applyAlignment="1" pivotButton="0" quotePrefix="0" xfId="0">
      <alignment horizontal="right" vertical="center" wrapText="1"/>
    </xf>
    <xf numFmtId="164" fontId="6" fillId="13" borderId="3" applyAlignment="1" pivotButton="0" quotePrefix="0" xfId="0">
      <alignment horizontal="center" vertical="center"/>
    </xf>
    <xf numFmtId="164" fontId="5" fillId="0" borderId="3" applyAlignment="1" pivotButton="0" quotePrefix="0" xfId="0">
      <alignment horizontal="center" vertical="center"/>
    </xf>
    <xf numFmtId="166" fontId="2" fillId="0" borderId="4" applyAlignment="1" pivotButton="0" quotePrefix="0" xfId="1">
      <alignment horizontal="center" vertical="center"/>
    </xf>
    <xf numFmtId="164" fontId="4" fillId="18" borderId="3" applyAlignment="1" pivotButton="0" quotePrefix="0" xfId="0">
      <alignment horizontal="center" vertical="center"/>
    </xf>
    <xf numFmtId="170" fontId="6" fillId="15" borderId="3" applyAlignment="1" pivotButton="0" quotePrefix="0" xfId="0">
      <alignment horizontal="center" vertical="center"/>
    </xf>
    <xf numFmtId="9" fontId="2" fillId="22" borderId="4" applyAlignment="1" pivotButton="0" quotePrefix="0" xfId="4">
      <alignment horizontal="center" vertical="center"/>
    </xf>
    <xf numFmtId="9" fontId="2" fillId="0" borderId="0" applyAlignment="1" pivotButton="0" quotePrefix="0" xfId="4">
      <alignment horizontal="center" vertical="center"/>
    </xf>
    <xf numFmtId="9" fontId="11" fillId="2" borderId="1" applyAlignment="1" pivotButton="0" quotePrefix="0" xfId="4">
      <alignment horizontal="center" vertical="center"/>
    </xf>
    <xf numFmtId="9" fontId="9" fillId="9" borderId="1" applyAlignment="1" pivotButton="0" quotePrefix="0" xfId="4">
      <alignment horizontal="center" vertical="center"/>
    </xf>
    <xf numFmtId="9" fontId="2" fillId="0" borderId="2" applyAlignment="1" pivotButton="0" quotePrefix="0" xfId="4">
      <alignment horizontal="center" vertical="center"/>
    </xf>
    <xf numFmtId="9" fontId="14" fillId="19" borderId="1" applyAlignment="1" pivotButton="0" quotePrefix="0" xfId="4">
      <alignment horizontal="center" vertical="center"/>
    </xf>
    <xf numFmtId="166" fontId="9" fillId="23" borderId="1" applyAlignment="1" pivotButton="0" quotePrefix="0" xfId="1">
      <alignment horizontal="right" vertical="center"/>
    </xf>
    <xf numFmtId="166" fontId="9" fillId="23" borderId="1" applyAlignment="1" pivotButton="0" quotePrefix="0" xfId="1">
      <alignment horizontal="center" vertical="center"/>
    </xf>
    <xf numFmtId="9" fontId="9" fillId="23" borderId="1" applyAlignment="1" pivotButton="0" quotePrefix="0" xfId="4">
      <alignment horizontal="center" vertical="center"/>
    </xf>
    <xf numFmtId="165" fontId="11" fillId="0" borderId="6" applyAlignment="1" pivotButton="0" quotePrefix="0" xfId="1">
      <alignment horizontal="center" vertical="center"/>
    </xf>
    <xf numFmtId="166" fontId="13" fillId="5" borderId="4" applyAlignment="1" pivotButton="0" quotePrefix="0" xfId="1">
      <alignment horizontal="center" vertical="center"/>
    </xf>
    <xf numFmtId="166" fontId="9" fillId="23" borderId="3" applyAlignment="1" pivotButton="0" quotePrefix="0" xfId="1">
      <alignment horizontal="center" vertical="center"/>
    </xf>
    <xf numFmtId="164" fontId="18" fillId="19" borderId="1" applyAlignment="1" pivotButton="0" quotePrefix="0" xfId="0">
      <alignment horizontal="right" vertical="center"/>
    </xf>
    <xf numFmtId="166" fontId="11" fillId="19" borderId="7" applyAlignment="1" pivotButton="0" quotePrefix="0" xfId="1">
      <alignment horizontal="center" vertical="center"/>
    </xf>
    <xf numFmtId="166" fontId="11" fillId="19" borderId="1" applyAlignment="1" pivotButton="0" quotePrefix="0" xfId="1">
      <alignment horizontal="center" vertical="center"/>
    </xf>
    <xf numFmtId="172" fontId="12" fillId="0" borderId="0" applyAlignment="1" pivotButton="0" quotePrefix="0" xfId="1">
      <alignment horizontal="center" vertical="center"/>
    </xf>
    <xf numFmtId="166" fontId="9" fillId="10" borderId="3" applyAlignment="1" pivotButton="0" quotePrefix="0" xfId="1">
      <alignment horizontal="center" vertical="center"/>
    </xf>
    <xf numFmtId="10" fontId="2" fillId="0" borderId="4" applyAlignment="1" pivotButton="0" quotePrefix="0" xfId="4">
      <alignment horizontal="center" vertical="center"/>
    </xf>
    <xf numFmtId="166" fontId="9" fillId="23" borderId="0" applyAlignment="1" pivotButton="0" quotePrefix="0" xfId="1">
      <alignment horizontal="right" vertical="center"/>
    </xf>
    <xf numFmtId="166" fontId="9" fillId="23" borderId="4" applyAlignment="1" pivotButton="0" quotePrefix="0" xfId="1">
      <alignment horizontal="center" vertical="center"/>
    </xf>
    <xf numFmtId="166" fontId="11" fillId="2" borderId="3" applyAlignment="1" pivotButton="0" quotePrefix="0" xfId="1">
      <alignment horizontal="center" vertical="center"/>
    </xf>
    <xf numFmtId="9" fontId="12" fillId="0" borderId="4" applyAlignment="1" pivotButton="0" quotePrefix="0" xfId="4">
      <alignment horizontal="center" vertical="center"/>
    </xf>
    <xf numFmtId="164" fontId="6" fillId="0" borderId="0" applyAlignment="1" pivotButton="0" quotePrefix="0" xfId="0">
      <alignment horizontal="right" vertical="center"/>
    </xf>
    <xf numFmtId="164" fontId="5" fillId="0" borderId="0" applyAlignment="1" pivotButton="0" quotePrefix="0" xfId="0">
      <alignment horizontal="right" vertical="center"/>
    </xf>
    <xf numFmtId="164" fontId="8" fillId="5" borderId="10" applyAlignment="1" pivotButton="0" quotePrefix="0" xfId="0">
      <alignment horizontal="center" vertical="center"/>
    </xf>
    <xf numFmtId="164" fontId="8" fillId="0" borderId="10" applyAlignment="1" pivotButton="0" quotePrefix="0" xfId="0">
      <alignment horizontal="center" vertical="center"/>
    </xf>
    <xf numFmtId="164" fontId="5" fillId="0" borderId="10" applyAlignment="1" pivotButton="0" quotePrefix="0" xfId="0">
      <alignment horizontal="center" vertical="center"/>
    </xf>
    <xf numFmtId="167" fontId="8" fillId="0" borderId="10" applyAlignment="1" pivotButton="0" quotePrefix="0" xfId="0">
      <alignment horizontal="center" vertical="center"/>
    </xf>
    <xf numFmtId="164" fontId="6" fillId="2" borderId="1" applyAlignment="1" pivotButton="0" quotePrefix="0" xfId="0">
      <alignment horizontal="right" vertical="center"/>
    </xf>
    <xf numFmtId="164" fontId="6" fillId="2" borderId="7" applyAlignment="1" pivotButton="0" quotePrefix="0" xfId="0">
      <alignment horizontal="center" vertical="center"/>
    </xf>
    <xf numFmtId="164" fontId="6" fillId="13" borderId="1" applyAlignment="1" pivotButton="0" quotePrefix="0" xfId="0">
      <alignment horizontal="right" vertical="center"/>
    </xf>
    <xf numFmtId="9" fontId="6" fillId="13" borderId="7" applyAlignment="1" pivotButton="0" quotePrefix="0" xfId="4">
      <alignment horizontal="center" vertical="center"/>
    </xf>
    <xf numFmtId="169" fontId="12" fillId="0" borderId="0" applyAlignment="1" pivotButton="0" quotePrefix="0" xfId="1">
      <alignment horizontal="center" vertical="center"/>
    </xf>
    <xf numFmtId="172" fontId="13" fillId="0" borderId="0" applyAlignment="1" pivotButton="0" quotePrefix="0" xfId="1">
      <alignment horizontal="center" vertical="center"/>
    </xf>
    <xf numFmtId="166" fontId="12" fillId="24" borderId="0" applyAlignment="1" pivotButton="0" quotePrefix="0" xfId="1">
      <alignment horizontal="center" vertical="center"/>
    </xf>
    <xf numFmtId="0" fontId="23" fillId="26" borderId="11" applyAlignment="1" pivotButton="0" quotePrefix="0" xfId="0">
      <alignment horizontal="right" vertical="center"/>
    </xf>
    <xf numFmtId="0" fontId="23" fillId="26" borderId="11" applyAlignment="1" pivotButton="0" quotePrefix="0" xfId="0">
      <alignment horizontal="center" vertical="center"/>
    </xf>
    <xf numFmtId="0" fontId="24" fillId="0" borderId="11" applyAlignment="1" pivotButton="0" quotePrefix="0" xfId="0">
      <alignment horizontal="right" vertical="center"/>
    </xf>
    <xf numFmtId="1" fontId="25" fillId="0" borderId="11" applyAlignment="1" pivotButton="0" quotePrefix="0" xfId="0">
      <alignment horizontal="center" vertical="center"/>
    </xf>
    <xf numFmtId="0" fontId="24" fillId="0" borderId="11" applyAlignment="1" pivotButton="0" quotePrefix="0" xfId="0">
      <alignment horizontal="center" vertical="center"/>
    </xf>
    <xf numFmtId="166" fontId="25" fillId="0" borderId="11" applyAlignment="1" pivotButton="0" quotePrefix="0" xfId="0">
      <alignment horizontal="center" vertical="center"/>
    </xf>
    <xf numFmtId="0" fontId="26" fillId="0" borderId="11" applyAlignment="1" pivotButton="0" quotePrefix="0" xfId="0">
      <alignment horizontal="center" vertical="center"/>
    </xf>
    <xf numFmtId="169" fontId="25" fillId="0" borderId="11" applyAlignment="1" pivotButton="0" quotePrefix="0" xfId="0">
      <alignment horizontal="center" vertical="center"/>
    </xf>
    <xf numFmtId="169" fontId="26" fillId="0" borderId="11" applyAlignment="1" pivotButton="0" quotePrefix="0" xfId="0">
      <alignment horizontal="center" vertical="center"/>
    </xf>
    <xf numFmtId="166" fontId="26" fillId="0" borderId="11" applyAlignment="1" pivotButton="0" quotePrefix="0" xfId="0">
      <alignment horizontal="center" vertical="center"/>
    </xf>
    <xf numFmtId="165" fontId="26" fillId="0" borderId="11" applyAlignment="1" pivotButton="0" quotePrefix="0" xfId="0">
      <alignment horizontal="center" vertical="center"/>
    </xf>
    <xf numFmtId="0" fontId="23" fillId="26" borderId="11" applyAlignment="1" pivotButton="0" quotePrefix="0" xfId="0">
      <alignment horizontal="center" vertical="center" wrapText="1"/>
    </xf>
    <xf numFmtId="0" fontId="23" fillId="0" borderId="11" applyAlignment="1" pivotButton="0" quotePrefix="0" xfId="0">
      <alignment horizontal="right" vertical="center"/>
    </xf>
    <xf numFmtId="166" fontId="29" fillId="0" borderId="11" applyAlignment="1" pivotButton="0" quotePrefix="0" xfId="0">
      <alignment horizontal="center" vertical="center"/>
    </xf>
    <xf numFmtId="2" fontId="26" fillId="0" borderId="11" applyAlignment="1" pivotButton="0" quotePrefix="0" xfId="0">
      <alignment horizontal="center" vertical="center"/>
    </xf>
    <xf numFmtId="165" fontId="25" fillId="0" borderId="11" applyAlignment="1" pivotButton="0" quotePrefix="0" xfId="0">
      <alignment horizontal="center" vertical="center"/>
    </xf>
    <xf numFmtId="0" fontId="31" fillId="0" borderId="11" applyAlignment="1" pivotButton="0" quotePrefix="0" xfId="0">
      <alignment horizontal="center" vertical="center"/>
    </xf>
    <xf numFmtId="1" fontId="29" fillId="0" borderId="11" applyAlignment="1" pivotButton="0" quotePrefix="0" xfId="0">
      <alignment horizontal="center" vertical="center"/>
    </xf>
    <xf numFmtId="173" fontId="26" fillId="0" borderId="11" applyAlignment="1" pivotButton="0" quotePrefix="0" xfId="0">
      <alignment horizontal="center" vertical="center"/>
    </xf>
    <xf numFmtId="166" fontId="9" fillId="14" borderId="1" applyAlignment="1" pivotButton="0" quotePrefix="0" xfId="1">
      <alignment horizontal="center" vertical="center"/>
    </xf>
    <xf numFmtId="9" fontId="1" fillId="0" borderId="0" pivotButton="0" quotePrefix="0" xfId="4"/>
    <xf numFmtId="165" fontId="9" fillId="14" borderId="3" applyAlignment="1" pivotButton="0" quotePrefix="0" xfId="1">
      <alignment horizontal="center" vertical="center"/>
    </xf>
    <xf numFmtId="166" fontId="0" fillId="0" borderId="0" pivotButton="0" quotePrefix="0" xfId="0"/>
    <xf numFmtId="9" fontId="1" fillId="0" borderId="0" applyAlignment="1" pivotButton="0" quotePrefix="0" xfId="4">
      <alignment horizontal="center"/>
    </xf>
    <xf numFmtId="166" fontId="32" fillId="3" borderId="1" applyAlignment="1" pivotButton="0" quotePrefix="0" xfId="1">
      <alignment horizontal="center" vertical="center"/>
    </xf>
    <xf numFmtId="166" fontId="9" fillId="18" borderId="1" applyAlignment="1" pivotButton="0" quotePrefix="0" xfId="1">
      <alignment horizontal="right" vertical="center"/>
    </xf>
    <xf numFmtId="166" fontId="9" fillId="9" borderId="7" applyAlignment="1" pivotButton="0" quotePrefix="0" xfId="1">
      <alignment horizontal="center" vertical="center"/>
    </xf>
    <xf numFmtId="166" fontId="9" fillId="18" borderId="1" applyAlignment="1" pivotButton="0" quotePrefix="0" xfId="1">
      <alignment horizontal="center" vertical="center"/>
    </xf>
    <xf numFmtId="0" fontId="22" fillId="25" borderId="0" applyAlignment="1" pivotButton="0" quotePrefix="0" xfId="0">
      <alignment horizontal="right" vertical="center"/>
    </xf>
    <xf numFmtId="0" fontId="0" fillId="0" borderId="0" pivotButton="0" quotePrefix="0" xfId="0"/>
    <xf numFmtId="0" fontId="27" fillId="0" borderId="0" applyAlignment="1" pivotButton="0" quotePrefix="0" xfId="0">
      <alignment horizontal="right" vertical="center" wrapText="1"/>
    </xf>
    <xf numFmtId="0" fontId="30" fillId="28" borderId="0" applyAlignment="1" pivotButton="0" quotePrefix="0" xfId="0">
      <alignment horizontal="right" vertical="center"/>
    </xf>
    <xf numFmtId="0" fontId="31" fillId="0" borderId="0" applyAlignment="1" pivotButton="0" quotePrefix="0" xfId="0">
      <alignment horizontal="right" vertical="center" wrapText="1"/>
    </xf>
    <xf numFmtId="0" fontId="30" fillId="30" borderId="0" applyAlignment="1" pivotButton="0" quotePrefix="0" xfId="0">
      <alignment horizontal="right" vertical="center"/>
    </xf>
    <xf numFmtId="0" fontId="20" fillId="0" borderId="0" applyAlignment="1" pivotButton="0" quotePrefix="0" xfId="0">
      <alignment horizontal="right" vertical="center"/>
    </xf>
    <xf numFmtId="0" fontId="30" fillId="29" borderId="0" applyAlignment="1" pivotButton="0" quotePrefix="0" xfId="0">
      <alignment horizontal="right" vertical="center"/>
    </xf>
    <xf numFmtId="0" fontId="21" fillId="0" borderId="0" applyAlignment="1" pivotButton="0" quotePrefix="0" xfId="0">
      <alignment horizontal="right" vertical="center"/>
    </xf>
    <xf numFmtId="0" fontId="28" fillId="27" borderId="11" applyAlignment="1" pivotButton="0" quotePrefix="0" xfId="0">
      <alignment horizontal="center" vertical="center"/>
    </xf>
    <xf numFmtId="0" fontId="0" fillId="0" borderId="12" pivotButton="0" quotePrefix="0" xfId="0"/>
    <xf numFmtId="0" fontId="0" fillId="0" borderId="13" pivotButton="0" quotePrefix="0" xfId="0"/>
    <xf numFmtId="0" fontId="30" fillId="31" borderId="0" applyAlignment="1" pivotButton="0" quotePrefix="0" xfId="0">
      <alignment horizontal="right" vertical="center"/>
    </xf>
    <xf numFmtId="166" fontId="33" fillId="32" borderId="17" applyAlignment="1" pivotButton="0" quotePrefix="0" xfId="1">
      <alignment horizontal="right" vertical="center"/>
    </xf>
    <xf numFmtId="0" fontId="0" fillId="32" borderId="17" pivotButton="0" quotePrefix="0" xfId="0"/>
    <xf numFmtId="166" fontId="33" fillId="32" borderId="17" applyAlignment="1" pivotButton="0" quotePrefix="0" xfId="1">
      <alignment horizontal="center" vertical="center"/>
    </xf>
    <xf numFmtId="166" fontId="2" fillId="32" borderId="16" applyAlignment="1" pivotButton="0" quotePrefix="0" xfId="1">
      <alignment horizontal="center" vertical="center"/>
    </xf>
    <xf numFmtId="166" fontId="33" fillId="33" borderId="17" applyAlignment="1" pivotButton="0" quotePrefix="0" xfId="1">
      <alignment horizontal="right" vertical="center"/>
    </xf>
    <xf numFmtId="0" fontId="0" fillId="33" borderId="17" pivotButton="0" quotePrefix="0" xfId="0"/>
    <xf numFmtId="175" fontId="34" fillId="34" borderId="17" applyAlignment="1" pivotButton="0" quotePrefix="0" xfId="1">
      <alignment horizontal="center" vertical="center"/>
    </xf>
    <xf numFmtId="174" fontId="34" fillId="34" borderId="17" applyAlignment="1" pivotButton="0" quotePrefix="0" xfId="1">
      <alignment horizontal="center" vertical="center"/>
    </xf>
    <xf numFmtId="175" fontId="33" fillId="32" borderId="17" applyAlignment="1" pivotButton="0" quotePrefix="0" xfId="1">
      <alignment horizontal="center" vertical="center"/>
    </xf>
    <xf numFmtId="174" fontId="35" fillId="35" borderId="17" applyAlignment="1" pivotButton="0" quotePrefix="0" xfId="1">
      <alignment horizontal="center" vertical="center"/>
    </xf>
    <xf numFmtId="1" fontId="35" fillId="35" borderId="17" applyAlignment="1" pivotButton="0" quotePrefix="0" xfId="1">
      <alignment horizontal="center" vertical="center"/>
    </xf>
    <xf numFmtId="166" fontId="34" fillId="34" borderId="17" applyAlignment="1" pivotButton="0" quotePrefix="0" xfId="1">
      <alignment horizontal="center" vertical="center"/>
    </xf>
  </cellXfs>
  <cellStyles count="5">
    <cellStyle name="Normal" xfId="0" builtinId="0"/>
    <cellStyle name="Normal 2" xfId="1"/>
    <cellStyle name="Normal 3" xfId="2"/>
    <cellStyle name="Normal 4" xfId="3"/>
    <cellStyle name="Percent" xfId="4" builtinId="5"/>
  </cellStyles>
  <dxfs count="7">
    <dxf>
      <font>
        <color rgb="FF9C0006"/>
      </font>
      <fill>
        <patternFill>
          <bgColor rgb="FFFFC7CE"/>
        </patternFill>
      </fill>
    </dxf>
    <dxf>
      <font>
        <b val="1"/>
        <color theme="0"/>
      </font>
      <fill>
        <patternFill>
          <bgColor rgb="FFC00000"/>
        </patternFill>
      </fill>
    </dxf>
    <dxf>
      <font>
        <color rgb="FF9C0006"/>
      </font>
      <fill>
        <patternFill>
          <bgColor rgb="FFFFC7CE"/>
        </patternFill>
      </fill>
    </dxf>
    <dxf>
      <font>
        <b val="1"/>
        <color theme="0"/>
      </font>
      <fill>
        <patternFill>
          <bgColor rgb="FFC00000"/>
        </patternFill>
      </fill>
    </dxf>
    <dxf>
      <font>
        <color rgb="FF9C0006"/>
      </font>
      <fill>
        <patternFill>
          <bgColor rgb="FFFFC7CE"/>
        </patternFill>
      </fill>
    </dxf>
    <dxf>
      <font>
        <b val="1"/>
        <color theme="0"/>
      </font>
      <fill>
        <patternFill>
          <bgColor rgb="FFC00000"/>
        </patternFill>
      </fill>
    </dxf>
    <dxf>
      <font>
        <b val="1"/>
        <color theme="0"/>
      </font>
      <fill>
        <patternFill>
          <bgColor rgb="FFC00000"/>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externalLink" Target="/xl/externalLinks/externalLink1.xml" Id="rId3" /><Relationship Type="http://schemas.openxmlformats.org/officeDocument/2006/relationships/externalLink" Target="/xl/externalLinks/externalLink2.xml" Id="rId4" /><Relationship Type="http://schemas.openxmlformats.org/officeDocument/2006/relationships/styles" Target="styles.xml" Id="rId5" /><Relationship Type="http://schemas.openxmlformats.org/officeDocument/2006/relationships/theme" Target="theme/theme1.xml" Id="rId6" /><Relationship Type="http://schemas.microsoft.com/office/2006/relationships/vbaProject" Target="vbaProject.bin" Id="rId7" /></Relationships>
</file>

<file path=xl/externalLinks/_rels/externalLink1.xml.rels><Relationships xmlns="http://schemas.openxmlformats.org/package/2006/relationships"><Relationship Type="http://schemas.microsoft.com/office/2006/relationships/xlExternalLinkPath/xlPathMissing" Target="RecoveredExternalLink1" TargetMode="External" Id="rId1" /></Relationships>
</file>

<file path=xl/externalLinks/_rels/externalLink2.xml.rels><Relationships xmlns="http://schemas.openxmlformats.org/package/2006/relationships"><Relationship Type="http://schemas.microsoft.com/office/2006/relationships/xlExternalLinkPath/xlPathMissing" Target="RecoveredExternalLink2" TargetMode="External" Id="rId1" /></Relationships>
</file>

<file path=xl/externalLinks/externalLink1.xml><?xml version="1.0" encoding="utf-8"?>
<externalLink xmlns:r="http://schemas.openxmlformats.org/officeDocument/2006/relationships" xmlns="http://schemas.openxmlformats.org/spreadsheetml/2006/main">
  <externalBook r:id="rId1">
    <sheetNames>
      <sheetName val="التغيرات"/>
      <sheetName val="تمهيد"/>
      <sheetName val="وصف المشروع"/>
      <sheetName val="تكلفة المشروع"/>
      <sheetName val="الايرادات و المبيعات"/>
      <sheetName val="حركة نقد المشروع"/>
      <sheetName val="حركة نقد الصندوق"/>
      <sheetName val="الملخص"/>
    </sheetNames>
    <sheetDataSet>
      <sheetData sheetId="0"/>
      <sheetData sheetId="1">
        <row r="1">
          <cell r="A1" t="str">
            <v xml:space="preserve">نموذج مالي لـ مشروع سكة 2 </v>
          </cell>
        </row>
      </sheetData>
      <sheetData sheetId="2"/>
      <sheetData sheetId="3"/>
      <sheetData sheetId="4">
        <row r="6">
          <cell r="D6">
            <v>0.5</v>
          </cell>
        </row>
      </sheetData>
      <sheetData sheetId="5"/>
      <sheetData sheetId="6">
        <row r="72">
          <cell r="D72">
            <v>0</v>
          </cell>
        </row>
      </sheetData>
      <sheetData sheetId="7"/>
    </sheetDataSet>
  </externalBook>
</externalLink>
</file>

<file path=xl/externalLinks/externalLink2.xml><?xml version="1.0" encoding="utf-8"?>
<externalLink xmlns:r="http://schemas.openxmlformats.org/officeDocument/2006/relationships" xmlns="http://schemas.openxmlformats.org/spreadsheetml/2006/main">
  <externalBook r:id="rId1">
    <sheetNames>
      <sheetName val="ن"/>
      <sheetName val="الحجم الاقل"/>
      <sheetName val="الحجم الاكبر"/>
      <sheetName val="20240216"/>
      <sheetName val="التقرير"/>
      <sheetName val="20240216 السيناريوهات"/>
    </sheetNames>
    <sheetDataSet>
      <sheetData sheetId="0" refreshError="1"/>
      <sheetData sheetId="1" refreshError="1"/>
      <sheetData sheetId="2" refreshError="1"/>
      <sheetData sheetId="3" refreshError="1"/>
      <sheetData sheetId="4" refreshError="1"/>
      <sheetData sheetId="5">
        <row r="4">
          <cell r="E4">
            <v>1000000</v>
          </cell>
        </row>
      </sheetData>
    </sheetDataSet>
  </externalBook>
</externalLink>
</file>

<file path=xl/theme/theme1.xml><?xml version="1.0" encoding="utf-8"?>
<a:theme xmlns:a="http://schemas.openxmlformats.org/drawingml/2006/main" name="Office Theme">
  <a:themeElements>
    <a:clrScheme name="تسوي 2">
      <a:dk1>
        <a:srgbClr val="171616"/>
      </a:dk1>
      <a:lt1>
        <a:sysClr val="window" lastClr="FFFFFF"/>
      </a:lt1>
      <a:dk2>
        <a:srgbClr val="B7975C"/>
      </a:dk2>
      <a:lt2>
        <a:srgbClr val="E7E6E6"/>
      </a:lt2>
      <a:accent1>
        <a:srgbClr val="1F5430"/>
      </a:accent1>
      <a:accent2>
        <a:srgbClr val="54774E"/>
      </a:accent2>
      <a:accent3>
        <a:srgbClr val="88996B"/>
      </a:accent3>
      <a:accent4>
        <a:srgbClr val="B7975C"/>
      </a:accent4>
      <a:accent5>
        <a:srgbClr val="D4BA81"/>
      </a:accent5>
      <a:accent6>
        <a:srgbClr val="E7DFC6"/>
      </a:accent6>
      <a:hlink>
        <a:srgbClr val="0563C1"/>
      </a:hlink>
      <a:folHlink>
        <a:srgbClr val="954F72"/>
      </a:folHlink>
    </a:clrScheme>
    <a:fontScheme name="الخط الاساسي">
      <a:majorFont>
        <a:latin typeface="Calibri"/>
        <a:ea typeface=""/>
        <a:cs typeface="Calibri"/>
      </a:majorFont>
      <a:minorFont>
        <a:latin typeface="Calibri"/>
        <a:ea typeface=""/>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sheetPr>
    <outlinePr summaryBelow="1" summaryRight="1"/>
    <pageSetUpPr/>
  </sheetPr>
  <dimension ref="A1:M136"/>
  <sheetViews>
    <sheetView rightToLeft="1" topLeftCell="A101" zoomScaleNormal="100" workbookViewId="0">
      <selection activeCell="A112" sqref="A112:J112"/>
    </sheetView>
  </sheetViews>
  <sheetFormatPr baseColWidth="8" defaultColWidth="8.85546875" defaultRowHeight="15"/>
  <cols>
    <col width="2.42578125" customWidth="1" style="241" min="1" max="3"/>
    <col width="50" customWidth="1" style="241" min="4" max="4"/>
    <col width="15" customWidth="1" style="241" min="5" max="10"/>
  </cols>
  <sheetData>
    <row r="1" ht="18.75" customHeight="1" s="241">
      <c r="A1" s="246" t="inlineStr">
        <is>
          <t>دراسة تطويرية - قطعة رقم 34 - كود البناء التطبيقي T5.3 (المسار الرياضي)</t>
        </is>
      </c>
    </row>
    <row r="2">
      <c r="A2" s="248" t="inlineStr">
        <is>
          <t>المسطحات البنائية الكاملة بعد خصم ارتدادات الأدوار (وبالأخص الدور الأرضي)، مع مراعاة اشتراطات الفراغات المفتوحة - أربعة سيناريوهات تطويرية</t>
        </is>
      </c>
    </row>
    <row r="4" ht="22.35" customHeight="1" s="241">
      <c r="A4" s="240" t="inlineStr">
        <is>
          <t>أولاً | بيانات الأرض (قطعة رقم 34)</t>
        </is>
      </c>
    </row>
    <row r="6">
      <c r="D6" s="212" t="inlineStr">
        <is>
          <t>البند</t>
        </is>
      </c>
      <c r="E6" s="213" t="inlineStr">
        <is>
          <t>القيمة</t>
        </is>
      </c>
      <c r="F6" s="213" t="inlineStr">
        <is>
          <t>الوحدة</t>
        </is>
      </c>
    </row>
    <row r="7">
      <c r="D7" s="214" t="inlineStr">
        <is>
          <t>رقم القطعة</t>
        </is>
      </c>
      <c r="E7" s="215" t="n">
        <v>34</v>
      </c>
      <c r="F7" s="216" t="n"/>
    </row>
    <row r="8">
      <c r="D8" s="214" t="inlineStr">
        <is>
          <t>إجمالي مساحة الأرض (حسب الصك/المخطط المساحي)</t>
        </is>
      </c>
      <c r="E8" s="217" t="n">
        <v>2681</v>
      </c>
      <c r="F8" s="216" t="inlineStr">
        <is>
          <t>م²</t>
        </is>
      </c>
    </row>
    <row r="9">
      <c r="D9" s="214" t="inlineStr">
        <is>
          <t>نوع الموقع</t>
        </is>
      </c>
      <c r="E9" s="218" t="inlineStr">
        <is>
          <t>زاوية على شارعين (مدخل السيارات من الشارع الجانبي إلزامياً)</t>
        </is>
      </c>
      <c r="F9" s="216" t="n"/>
    </row>
    <row r="10">
      <c r="D10" s="214" t="inlineStr">
        <is>
          <t>طول الواجهة على الشارع الرئيسي (طريق الأمير محمد بن سلمان بن عبدالعزيز)</t>
        </is>
      </c>
      <c r="E10" s="219" t="n">
        <v>60.43</v>
      </c>
      <c r="F10" s="216" t="inlineStr">
        <is>
          <t>م</t>
        </is>
      </c>
    </row>
    <row r="11">
      <c r="D11" s="214" t="inlineStr">
        <is>
          <t>طول الواجهة على الشارع الجانبي (شارع وادي الزرقاء) = 29.61+13.81</t>
        </is>
      </c>
      <c r="E11" s="219">
        <f>29.61+13.81</f>
        <v/>
      </c>
      <c r="F11" s="216" t="inlineStr">
        <is>
          <t>م</t>
        </is>
      </c>
    </row>
    <row r="12">
      <c r="D12" s="214" t="inlineStr">
        <is>
          <t>طول الضلع الداخلي الخلفي (مجاور قطعة رقم 33)</t>
        </is>
      </c>
      <c r="E12" s="219" t="n">
        <v>70.13</v>
      </c>
      <c r="F12" s="216" t="inlineStr">
        <is>
          <t>م</t>
        </is>
      </c>
    </row>
    <row r="13">
      <c r="D13" s="214" t="inlineStr">
        <is>
          <t>طول الضلع الداخلي الجانبي (مجاور القطعة المجاورة يساراً)</t>
        </is>
      </c>
      <c r="E13" s="219" t="n">
        <v>39.48</v>
      </c>
      <c r="F13" s="216" t="inlineStr">
        <is>
          <t>م</t>
        </is>
      </c>
    </row>
    <row r="14">
      <c r="D14" s="214" t="inlineStr">
        <is>
          <t>متوسط عرض القطعة (البعد الموازي للشارع الرئيسي)</t>
        </is>
      </c>
      <c r="E14" s="220">
        <f>AVERAGE(E10,E12)</f>
        <v/>
      </c>
      <c r="F14" s="216" t="inlineStr">
        <is>
          <t>م</t>
        </is>
      </c>
    </row>
    <row r="15">
      <c r="D15" s="214" t="inlineStr">
        <is>
          <t>متوسط عمق القطعة (البعد العمودي على الشارع الرئيسي)</t>
        </is>
      </c>
      <c r="E15" s="220">
        <f>AVERAGE(E11,E13)</f>
        <v/>
      </c>
      <c r="F15" s="216" t="inlineStr">
        <is>
          <t>م</t>
        </is>
      </c>
    </row>
    <row r="16">
      <c r="D16" s="214" t="inlineStr">
        <is>
          <t>مساحة تقريبية (متوسط العرض × متوسط العمق) - تدقيق حسابي</t>
        </is>
      </c>
      <c r="E16" s="221">
        <f>E14*E15</f>
        <v/>
      </c>
      <c r="F16" s="216" t="inlineStr">
        <is>
          <t>م²</t>
        </is>
      </c>
    </row>
    <row r="17">
      <c r="D17" s="214" t="inlineStr">
        <is>
          <t>الفرق عن المساحة الرسمية</t>
        </is>
      </c>
      <c r="E17" s="222">
        <f>E16/E8-1</f>
        <v/>
      </c>
    </row>
    <row r="19">
      <c r="A19" s="242" t="inlineStr">
        <is>
          <t>ملاحظة: الأبعاد أعلاه مأخوذة تقريبياً من مخطط الموقع المرفق للقطعة رقم 34. الأبعاد الدقيقة تُعتمد من كروكي المساحة الرسمي عند التصميم التنفيذي؛ نسبة الفرق البسيطة أعلاه ناتجة عن كون القطعة شبه منحرفة الشكل وليست مستطيلة تماماً.</t>
        </is>
      </c>
    </row>
    <row r="21" ht="22.35" customHeight="1" s="241">
      <c r="A21" s="240" t="inlineStr">
        <is>
          <t>ثانياً | جدول ارتدادات كود T5.3 - قطعة زاوية على شارعين (قابلة للتعديل - خط أزرق)</t>
        </is>
      </c>
    </row>
    <row r="23" ht="30" customHeight="1" s="241">
      <c r="D23" s="223" t="inlineStr">
        <is>
          <t>مجموعة الأدوار</t>
        </is>
      </c>
      <c r="E23" s="223" t="inlineStr">
        <is>
          <t>ارتداد الشارع الرئيسي (م)</t>
        </is>
      </c>
      <c r="F23" s="223" t="inlineStr">
        <is>
          <t>ارتداد الشارع الجانبي (م)</t>
        </is>
      </c>
      <c r="G23" s="223" t="inlineStr">
        <is>
          <t>ارتداد الجانب الداخلي (م)</t>
        </is>
      </c>
      <c r="H23" s="223" t="inlineStr">
        <is>
          <t>ارتداد الخلف الداخلي (م)</t>
        </is>
      </c>
      <c r="I23" s="223" t="inlineStr">
        <is>
          <t>نسبة تغطية البناء الناتجة</t>
        </is>
      </c>
      <c r="J23" s="223" t="inlineStr">
        <is>
          <t>مساحة بناء الدور الواحد (م²)</t>
        </is>
      </c>
    </row>
    <row r="24">
      <c r="D24" s="224" t="inlineStr">
        <is>
          <t>الدور الأرضي</t>
        </is>
      </c>
      <c r="E24" s="219" t="n">
        <v>4</v>
      </c>
      <c r="F24" s="219" t="n">
        <v>4</v>
      </c>
      <c r="G24" s="219" t="n">
        <v>3</v>
      </c>
      <c r="H24" s="219" t="n">
        <v>3</v>
      </c>
      <c r="I24" s="222">
        <f>J24/E8</f>
        <v/>
      </c>
      <c r="J24" s="221">
        <f>(E14-F24-G24)*(E15-E24-H24)</f>
        <v/>
      </c>
      <c r="K24" s="234">
        <f>J24</f>
        <v/>
      </c>
      <c r="L24">
        <f>J24*85%</f>
        <v/>
      </c>
      <c r="M24" s="234">
        <f>K24-350</f>
        <v/>
      </c>
    </row>
    <row r="25">
      <c r="D25" s="224" t="inlineStr">
        <is>
          <t>الدور الأول والثاني (لكل دور)</t>
        </is>
      </c>
      <c r="E25" s="219" t="n">
        <v>4</v>
      </c>
      <c r="F25" s="219" t="n">
        <v>4</v>
      </c>
      <c r="G25" s="219" t="n">
        <v>3</v>
      </c>
      <c r="H25" s="219" t="n">
        <v>3</v>
      </c>
      <c r="I25" s="222">
        <f>J25/E8</f>
        <v/>
      </c>
      <c r="J25" s="221">
        <f>(E14-F25-G25)*(E15-E25-H25)</f>
        <v/>
      </c>
      <c r="K25">
        <f>J25*2</f>
        <v/>
      </c>
    </row>
    <row r="26">
      <c r="D26" s="224" t="inlineStr">
        <is>
          <t>الدور الثالث والرابع (لكل دور)*</t>
        </is>
      </c>
      <c r="E26" s="219" t="n">
        <v>6.5</v>
      </c>
      <c r="F26" s="219" t="n">
        <v>6.5</v>
      </c>
      <c r="G26" s="219" t="n">
        <v>3</v>
      </c>
      <c r="H26" s="219" t="n">
        <v>3</v>
      </c>
      <c r="I26" s="222">
        <f>J26/E8</f>
        <v/>
      </c>
      <c r="J26" s="221">
        <f>(E14-F26-G26)*(E15-E26-H26)</f>
        <v/>
      </c>
      <c r="K26">
        <f>J26*2</f>
        <v/>
      </c>
    </row>
    <row r="27">
      <c r="K27" s="234">
        <f>SUM(K24:K26)</f>
        <v/>
      </c>
    </row>
    <row r="28">
      <c r="A28" s="242" t="inlineStr">
        <is>
          <t>* حسب الكود: ارتداد الدور الثالث والرابع عن الشارع (الرئيسي/الجانبي) يتراوح 5.5-7.5م على 65% من طول الواجهة، و35% المتبقية يجوز أن تبقى على حد ارتداد الدور الأدنى. تم اعتماد متوسط 6.5م لتبسيط حساب المسطحات الإجمالية في هذه الدراسة (تقدير محافظ، قابل للتفصيل في مرحلة التصميم المعماري).</t>
        </is>
      </c>
    </row>
    <row r="30" ht="22.35" customHeight="1" s="241">
      <c r="A30" s="240" t="inlineStr">
        <is>
          <t>ثالثاً | إجمالي المسطحات البنائية وخياري الارتفاع (4 أو 5 أدوار)</t>
        </is>
      </c>
    </row>
    <row r="32">
      <c r="D32" s="212" t="inlineStr">
        <is>
          <t>البند</t>
        </is>
      </c>
      <c r="E32" s="213" t="inlineStr">
        <is>
          <t>القيمة</t>
        </is>
      </c>
      <c r="F32" s="213" t="inlineStr">
        <is>
          <t>الوحدة</t>
        </is>
      </c>
    </row>
    <row r="33">
      <c r="D33" s="214" t="inlineStr">
        <is>
          <t>مساحة بناء الدور الأرضي (بعد خصم الارتدادات)</t>
        </is>
      </c>
      <c r="E33" s="221">
        <f>J24</f>
        <v/>
      </c>
      <c r="F33" s="216" t="inlineStr">
        <is>
          <t>م²</t>
        </is>
      </c>
    </row>
    <row r="34">
      <c r="D34" s="214" t="inlineStr">
        <is>
          <t>مساحة بناء الدور الواحد (أول/ثاني)</t>
        </is>
      </c>
      <c r="E34" s="221">
        <f>J25</f>
        <v/>
      </c>
      <c r="F34" s="216" t="inlineStr">
        <is>
          <t>م²</t>
        </is>
      </c>
    </row>
    <row r="35">
      <c r="D35" s="214" t="inlineStr">
        <is>
          <t>مساحة بناء الدور الواحد (ثالث/رابع)</t>
        </is>
      </c>
      <c r="E35" s="221">
        <f>J26</f>
        <v/>
      </c>
      <c r="F35" s="216" t="inlineStr">
        <is>
          <t>م²</t>
        </is>
      </c>
    </row>
    <row r="36">
      <c r="D36" s="214" t="inlineStr">
        <is>
          <t>نسبة تغطية البناء الفعلية بالدور الأرضي (الحد النظامي 50%-75%)</t>
        </is>
      </c>
      <c r="E36" s="222">
        <f>E33/E8</f>
        <v/>
      </c>
    </row>
    <row r="37">
      <c r="D37" s="214" t="inlineStr">
        <is>
          <t>نسبة الفراغ المفتوح الناتجة بالدور الأرضي (الحد الأدنى النظامي 25%)</t>
        </is>
      </c>
      <c r="E37" s="222">
        <f>1-E36</f>
        <v/>
      </c>
    </row>
    <row r="38">
      <c r="D38" s="214" t="inlineStr">
        <is>
          <t>التحقق من اشتراط الفراغ المفتوح</t>
        </is>
      </c>
      <c r="E38" s="249">
        <f>IF(E37&gt;=0.25,"محقق ✓ (يتوافق مع 25% كحد أدنى)","غير محقق - يلزم تخفيض مساحة البناء")</f>
        <v/>
      </c>
      <c r="F38" s="250" t="n"/>
      <c r="G38" s="251" t="n"/>
    </row>
    <row r="40">
      <c r="D40" s="224" t="inlineStr">
        <is>
          <t>الخيار (أ): ارتفاع 4 أدوار - أرضي + أول + ثاني + ثالث (الحد الأدنى للكود)</t>
        </is>
      </c>
    </row>
    <row r="41">
      <c r="D41" s="214" t="inlineStr">
        <is>
          <t>إجمالي المسطحات البنائية</t>
        </is>
      </c>
      <c r="E41" s="225">
        <f>E33+E34*2+E35</f>
        <v/>
      </c>
      <c r="F41" s="216" t="inlineStr">
        <is>
          <t>م²</t>
        </is>
      </c>
    </row>
    <row r="42">
      <c r="D42" s="214" t="inlineStr">
        <is>
          <t>معامل البناء الفعلي (FAR)</t>
        </is>
      </c>
      <c r="E42" s="226">
        <f>E41/E8</f>
        <v/>
      </c>
    </row>
    <row r="44">
      <c r="D44" s="224" t="inlineStr">
        <is>
          <t>الخيار (ب): ارتفاع 5 أدوار - أرضي + أول + ثاني + ثالث + رابع (الحد الأقصى للكود) — المعتمد في السيناريوهات أدناه</t>
        </is>
      </c>
    </row>
    <row r="45">
      <c r="D45" s="214" t="inlineStr">
        <is>
          <t>إجمالي المسطحات البنائية</t>
        </is>
      </c>
      <c r="E45" s="225">
        <f>E33+E34*2+E35*2</f>
        <v/>
      </c>
      <c r="F45" s="216" t="inlineStr">
        <is>
          <t>م²</t>
        </is>
      </c>
    </row>
    <row r="46">
      <c r="D46" s="214" t="inlineStr">
        <is>
          <t>معامل البناء الفعلي (FAR)</t>
        </is>
      </c>
      <c r="E46" s="226">
        <f>E45/E8</f>
        <v/>
      </c>
    </row>
    <row r="48">
      <c r="A48" s="242" t="inlineStr">
        <is>
          <t>المسطحات أعلاه لا تشمل أدوار القبو (المواقف)، ولا تشمل حصة الشرف/التراسات الإضافية الخاضعة لاشتراط 15% كحد أدنى فراغ مفتوح بالأسطح والشرفات - ويُنصح تخصيصها كمساحات مشتركة غير بيعية.</t>
        </is>
      </c>
    </row>
    <row r="50" ht="22.35" customHeight="1" s="241">
      <c r="A50" s="240" t="inlineStr">
        <is>
          <t>رابعاً | مواقف السيارات - الأرض المتبقية والمواقف السطحية (مشترك بين كل السيناريوهات)</t>
        </is>
      </c>
    </row>
    <row r="52">
      <c r="D52" s="212" t="inlineStr">
        <is>
          <t>البند</t>
        </is>
      </c>
      <c r="E52" s="213" t="inlineStr">
        <is>
          <t>القيمة</t>
        </is>
      </c>
      <c r="F52" s="213" t="inlineStr">
        <is>
          <t>الوحدة</t>
        </is>
      </c>
    </row>
    <row r="53">
      <c r="D53" s="214" t="inlineStr">
        <is>
          <t>المساحة المتبقية بالدور الأرضي بعد الارتدادات (فراغ مفتوح)</t>
        </is>
      </c>
      <c r="E53" s="221">
        <f>E8-E33</f>
        <v/>
      </c>
      <c r="F53" s="216" t="inlineStr">
        <is>
          <t>م²</t>
        </is>
      </c>
    </row>
    <row r="54">
      <c r="D54" s="214" t="inlineStr">
        <is>
          <t>الحد الأقصى لنسبة الهاردسكيب (مواقف/ممرات) من الفراغ المفتوح - حسب كود الاستدامة</t>
        </is>
      </c>
      <c r="E54" s="227" t="n">
        <v>0.6</v>
      </c>
    </row>
    <row r="55">
      <c r="D55" s="214" t="inlineStr">
        <is>
          <t>المساحة القابلة لاستخدامها كمواقف سطحية</t>
        </is>
      </c>
      <c r="E55" s="221">
        <f>E53*E54</f>
        <v/>
      </c>
      <c r="F55" s="216" t="inlineStr">
        <is>
          <t>م²</t>
        </is>
      </c>
    </row>
    <row r="56">
      <c r="D56" s="214" t="inlineStr">
        <is>
          <t>متوسط مساحة الموقف السطحي الواحد</t>
        </is>
      </c>
      <c r="E56" s="217" t="n">
        <v>25</v>
      </c>
      <c r="F56" s="216" t="inlineStr">
        <is>
          <t>م²/موقف</t>
        </is>
      </c>
    </row>
    <row r="57">
      <c r="D57" s="214" t="inlineStr">
        <is>
          <t>عدد المواقف السطحية التقديري المتاح</t>
        </is>
      </c>
      <c r="E57" s="225">
        <f>FLOOR(E55/E56,1)</f>
        <v/>
      </c>
      <c r="F57" s="216" t="inlineStr">
        <is>
          <t>موقف</t>
        </is>
      </c>
    </row>
    <row r="58">
      <c r="D58" s="214" t="inlineStr">
        <is>
          <t>متوسط مساحة الموقف الواحد بالقبو (شامل الممرات والمنحدرات)</t>
        </is>
      </c>
      <c r="E58" s="217" t="n">
        <v>42</v>
      </c>
      <c r="F58" s="216" t="inlineStr">
        <is>
          <t>م²/موقف</t>
        </is>
      </c>
    </row>
    <row r="60">
      <c r="A60" s="242" t="inlineStr">
        <is>
          <t>المواقف السطحية أعلاه محدودة باشتراط ألا تتجاوز مساحات الهاردسكيب 60% من مساحة الفراغات المفتوحة (بما يتوافق مع اشتراطات الاستدامة بالكود)، وبالتالي فإن معظم احتياج المواقف الفعلي في هذا الموقع سيُحل عبر أدوار قبو، بحسب اشتراط 'مبنى متعدد الاستخدامات بمواقف سفلية' المتاح في الكود بحد أقصى 5 أدوار.</t>
        </is>
      </c>
    </row>
    <row r="62" ht="22.35" customHeight="1" s="241">
      <c r="A62" s="240" t="inlineStr">
        <is>
          <t>خامساً | السيناريوهات التطويرية الأربعة (على أساس الارتفاع الأقصى: 5 أدوار)</t>
        </is>
      </c>
    </row>
    <row r="64" ht="22.35" customHeight="1" s="241">
      <c r="A64" s="243" t="inlineStr">
        <is>
          <t>السيناريو (1): برج سكني بالكامل</t>
        </is>
      </c>
    </row>
    <row r="65">
      <c r="A65" s="244" t="inlineStr">
        <is>
          <t>توزيع الأدوار: جميع الأدوار الخمسة (الأرضي + الأول + الثاني + الثالث + الرابع) شقق سكنية للبيع/التأجير، مع دور بدروم كمواقف. مدخل مستقل للسيارات من الشارع الجانبي (وادي الزرقاء).</t>
        </is>
      </c>
    </row>
    <row r="66" ht="24" customHeight="1" s="241">
      <c r="D66" s="212" t="inlineStr">
        <is>
          <t>البند</t>
        </is>
      </c>
      <c r="E66" s="223" t="inlineStr">
        <is>
          <t>سكني (شقق للبيع)</t>
        </is>
      </c>
      <c r="F66" s="223" t="inlineStr">
        <is>
          <t>مكتبي</t>
        </is>
      </c>
      <c r="G66" s="223" t="inlineStr">
        <is>
          <t>تجاري</t>
        </is>
      </c>
      <c r="H66" s="223" t="inlineStr">
        <is>
          <t>فندقي</t>
        </is>
      </c>
      <c r="I66" s="213" t="inlineStr">
        <is>
          <t>المجموع</t>
        </is>
      </c>
    </row>
    <row r="67">
      <c r="D67" s="214" t="inlineStr">
        <is>
          <t>المسطح الكلي المخصص للاستخدام (م²)</t>
        </is>
      </c>
      <c r="E67" s="221">
        <f>E33+E34*2+E35*2</f>
        <v/>
      </c>
      <c r="F67" s="221" t="n">
        <v>0</v>
      </c>
      <c r="G67" s="221" t="n">
        <v>0</v>
      </c>
      <c r="H67" s="221" t="n">
        <v>0</v>
      </c>
      <c r="I67" s="225">
        <f>SUM(E67:H67)</f>
        <v/>
      </c>
    </row>
    <row r="68">
      <c r="D68" s="214" t="inlineStr">
        <is>
          <t>نسبة المساحة الصافية (البيعية/التأجيرية)</t>
        </is>
      </c>
      <c r="E68" s="227" t="n">
        <v>0.85</v>
      </c>
      <c r="F68" s="227" t="n">
        <v>0</v>
      </c>
      <c r="G68" s="227" t="n">
        <v>0</v>
      </c>
      <c r="H68" s="227" t="n">
        <v>0</v>
      </c>
    </row>
    <row r="69">
      <c r="D69" s="214" t="inlineStr">
        <is>
          <t>المساحة الصافية (البيعية/التأجيرية) م²</t>
        </is>
      </c>
      <c r="E69" s="221">
        <f>E67*E68</f>
        <v/>
      </c>
      <c r="F69" s="221">
        <f>F67*F68</f>
        <v/>
      </c>
      <c r="G69" s="221">
        <f>G67*G68</f>
        <v/>
      </c>
      <c r="H69" s="221">
        <f>H67*H68</f>
        <v/>
      </c>
      <c r="I69" s="225">
        <f>SUM(E69:H69)</f>
        <v/>
      </c>
    </row>
    <row r="70">
      <c r="D70" s="214" t="inlineStr">
        <is>
          <t>متوسط مساحة الوحدة (0 = مساحة تأجيرية مباشرة)</t>
        </is>
      </c>
      <c r="E70" s="217" t="n">
        <v>130</v>
      </c>
      <c r="F70" s="217" t="n">
        <v>0</v>
      </c>
      <c r="G70" s="217" t="n">
        <v>0</v>
      </c>
      <c r="H70" s="217" t="n">
        <v>0</v>
      </c>
    </row>
    <row r="71">
      <c r="D71" s="214" t="inlineStr">
        <is>
          <t>عدد الوحدات / المحلات (أو المساحة التأجيرية م² إن لم يوجد متوسط)</t>
        </is>
      </c>
      <c r="E71" s="221">
        <f>IF(E70&gt;0,IFERROR(E69/E70,0),E69)</f>
        <v/>
      </c>
      <c r="F71" s="221">
        <f>IF(F70&gt;0,IFERROR(F69/F70,0),F69)</f>
        <v/>
      </c>
      <c r="G71" s="221">
        <f>IF(G70&gt;0,IFERROR(G69/G70,0),G69)</f>
        <v/>
      </c>
      <c r="H71" s="221">
        <f>IF(H70&gt;0,IFERROR(H69/H70,0),H69)</f>
        <v/>
      </c>
    </row>
    <row r="72">
      <c r="D72" s="214" t="inlineStr">
        <is>
          <t>معدل متطلبات الموقف حسب كود T5.3</t>
        </is>
      </c>
      <c r="E72" s="219" t="n">
        <v>1</v>
      </c>
      <c r="F72" s="219" t="n">
        <v>0</v>
      </c>
      <c r="G72" s="219" t="n">
        <v>0</v>
      </c>
      <c r="H72" s="219" t="n">
        <v>0</v>
      </c>
    </row>
    <row r="73">
      <c r="D73" s="214" t="inlineStr">
        <is>
          <t>وحدة المعدل</t>
        </is>
      </c>
      <c r="E73" s="228" t="inlineStr">
        <is>
          <t>موقف / وحدة سكنية</t>
        </is>
      </c>
      <c r="F73" s="228" t="n"/>
      <c r="G73" s="228" t="n"/>
      <c r="H73" s="228" t="n"/>
    </row>
    <row r="74">
      <c r="D74" s="214" t="inlineStr">
        <is>
          <t>عدد المواقف المطلوبة</t>
        </is>
      </c>
      <c r="E74" s="221">
        <f>IF(E70&gt;0,E71*E72,IFERROR(E71/E72,0))</f>
        <v/>
      </c>
      <c r="F74" s="221">
        <f>IF(F70&gt;0,F71*F72,IFERROR(F71/F72,0))</f>
        <v/>
      </c>
      <c r="G74" s="221">
        <f>IF(G70&gt;0,G71*G72,IFERROR(G71/G72,0))</f>
        <v/>
      </c>
      <c r="H74" s="221">
        <f>IF(H70&gt;0,H71*H72,IFERROR(H71/H72,0))</f>
        <v/>
      </c>
      <c r="I74" s="225">
        <f>SUM(E74:H74)</f>
        <v/>
      </c>
    </row>
    <row r="75">
      <c r="D75" s="214" t="inlineStr">
        <is>
          <t>عدد المواقف السطحية المتاحة (من القسم رابعاً - مشترك)</t>
        </is>
      </c>
      <c r="I75" s="221">
        <f>$E$57</f>
        <v/>
      </c>
    </row>
    <row r="76">
      <c r="D76" s="214" t="inlineStr">
        <is>
          <t>صافي عدد المواقف المطلوبة بالقبو</t>
        </is>
      </c>
      <c r="I76" s="225">
        <f>MAX(0,I74-I75)</f>
        <v/>
      </c>
    </row>
    <row r="77">
      <c r="D77" s="214" t="inlineStr">
        <is>
          <t>مساحة القبو اللازمة للمواقف (م²)</t>
        </is>
      </c>
      <c r="I77" s="221">
        <f>I76*$E$58</f>
        <v/>
      </c>
    </row>
    <row r="78">
      <c r="D78" s="214" t="inlineStr">
        <is>
          <t>عدد أدوار القبو التقديري (المساحة ÷ مساحة الأرض، مقرباً لأعلى)</t>
        </is>
      </c>
      <c r="I78" s="229">
        <f>ROUNDUP(I77/$E$8,0)</f>
        <v/>
      </c>
    </row>
    <row r="80" ht="22.35" customHeight="1" s="241">
      <c r="A80" s="247" t="inlineStr">
        <is>
          <t>السيناريو (2): الدور الأرضي معارض تجارية + بقية الأدوار مكاتب</t>
        </is>
      </c>
    </row>
    <row r="81">
      <c r="A81" s="244" t="inlineStr">
        <is>
          <t>توزيع الأدوار: الدور الأرضي بالكامل معارض/محلات تجارية على الواجهتين (الرئيسية والجانبية)، والأدوار الأربعة العلوية (الأول-الرابع) مكاتب إدارية مؤجرة، مع دخول سيارات مستقل من الشارع الجانبي.</t>
        </is>
      </c>
    </row>
    <row r="82" ht="24" customHeight="1" s="241">
      <c r="D82" s="212" t="inlineStr">
        <is>
          <t>البند</t>
        </is>
      </c>
      <c r="E82" s="223" t="inlineStr">
        <is>
          <t>سكني (شقق للبيع)</t>
        </is>
      </c>
      <c r="F82" s="223" t="inlineStr">
        <is>
          <t>مكتبي</t>
        </is>
      </c>
      <c r="G82" s="223" t="inlineStr">
        <is>
          <t>تجاري</t>
        </is>
      </c>
      <c r="H82" s="223" t="inlineStr">
        <is>
          <t>فندقي</t>
        </is>
      </c>
      <c r="I82" s="213" t="inlineStr">
        <is>
          <t>المجموع</t>
        </is>
      </c>
    </row>
    <row r="83">
      <c r="D83" s="214" t="inlineStr">
        <is>
          <t>المسطح الكلي المخصص للاستخدام (م²)</t>
        </is>
      </c>
      <c r="E83" s="221" t="n">
        <v>0</v>
      </c>
      <c r="F83" s="221">
        <f>E34*2+E35*2</f>
        <v/>
      </c>
      <c r="G83" s="221">
        <f>E33</f>
        <v/>
      </c>
      <c r="H83" s="221" t="n">
        <v>0</v>
      </c>
      <c r="I83" s="225">
        <f>SUM(E83:H83)</f>
        <v/>
      </c>
    </row>
    <row r="84">
      <c r="D84" s="214" t="inlineStr">
        <is>
          <t>نسبة المساحة الصافية (البيعية/التأجيرية)</t>
        </is>
      </c>
      <c r="E84" s="227" t="n">
        <v>0</v>
      </c>
      <c r="F84" s="227" t="n">
        <v>0.85</v>
      </c>
      <c r="G84" s="227" t="n">
        <v>0.9</v>
      </c>
      <c r="H84" s="227" t="n">
        <v>0</v>
      </c>
    </row>
    <row r="85">
      <c r="D85" s="214" t="inlineStr">
        <is>
          <t>المساحة الصافية (البيعية/التأجيرية) م²</t>
        </is>
      </c>
      <c r="E85" s="221">
        <f>E83*E84</f>
        <v/>
      </c>
      <c r="F85" s="221">
        <f>F83*F84</f>
        <v/>
      </c>
      <c r="G85" s="221">
        <f>G83*G84</f>
        <v/>
      </c>
      <c r="H85" s="221">
        <f>H83*H84</f>
        <v/>
      </c>
      <c r="I85" s="225">
        <f>SUM(E85:H85)</f>
        <v/>
      </c>
    </row>
    <row r="86">
      <c r="D86" s="214" t="inlineStr">
        <is>
          <t>متوسط مساحة الوحدة (0 = مساحة تأجيرية مباشرة)</t>
        </is>
      </c>
      <c r="E86" s="217" t="n">
        <v>0</v>
      </c>
      <c r="F86" s="217" t="n">
        <v>150</v>
      </c>
      <c r="G86" s="217" t="n">
        <v>0</v>
      </c>
      <c r="H86" s="217" t="n">
        <v>0</v>
      </c>
    </row>
    <row r="87">
      <c r="D87" s="214" t="inlineStr">
        <is>
          <t>عدد الوحدات / المحلات (أو المساحة التأجيرية م² إن لم يوجد متوسط)</t>
        </is>
      </c>
      <c r="E87" s="221">
        <f>IF(E86&gt;0,IFERROR(E85/E86,0),E85)</f>
        <v/>
      </c>
      <c r="F87" s="221">
        <f>IF(F86&gt;0,IFERROR(F85/F86,0),F85)</f>
        <v/>
      </c>
      <c r="G87" s="221">
        <f>IF(G86&gt;0,IFERROR(G85/G86,0),G85)</f>
        <v/>
      </c>
      <c r="H87" s="221">
        <f>IF(H86&gt;0,IFERROR(H85/H86,0),H85)</f>
        <v/>
      </c>
    </row>
    <row r="88">
      <c r="D88" s="214" t="inlineStr">
        <is>
          <t>معدل متطلبات الموقف حسب كود T5.3</t>
        </is>
      </c>
      <c r="E88" s="219" t="n">
        <v>0</v>
      </c>
      <c r="F88" s="219" t="n">
        <v>43</v>
      </c>
      <c r="G88" s="219" t="n">
        <v>33.33</v>
      </c>
      <c r="H88" s="219" t="n">
        <v>0</v>
      </c>
    </row>
    <row r="89">
      <c r="D89" s="214" t="inlineStr">
        <is>
          <t>وحدة المعدل</t>
        </is>
      </c>
      <c r="E89" s="228" t="n"/>
      <c r="F89" s="228" t="inlineStr">
        <is>
          <t>م² / موقف</t>
        </is>
      </c>
      <c r="G89" s="228" t="inlineStr">
        <is>
          <t>م² / موقف (3 مواقف/100م²)</t>
        </is>
      </c>
      <c r="H89" s="228" t="n"/>
    </row>
    <row r="90">
      <c r="D90" s="214" t="inlineStr">
        <is>
          <t>عدد المواقف المطلوبة</t>
        </is>
      </c>
      <c r="E90" s="221">
        <f>IF(E86&gt;0,E87*E88,IFERROR(E87/E88,0))</f>
        <v/>
      </c>
      <c r="F90" s="221">
        <f>IF(F86&gt;0,F87*F88,IFERROR(F87/F88,0))</f>
        <v/>
      </c>
      <c r="G90" s="221">
        <f>IF(G86&gt;0,G87*G88,IFERROR(G87/G88,0))</f>
        <v/>
      </c>
      <c r="H90" s="221">
        <f>IF(H86&gt;0,H87*H88,IFERROR(H87/H88,0))</f>
        <v/>
      </c>
      <c r="I90" s="225">
        <f>SUM(E90:H90)</f>
        <v/>
      </c>
    </row>
    <row r="91">
      <c r="D91" s="214" t="inlineStr">
        <is>
          <t>عدد المواقف السطحية المتاحة (من القسم رابعاً - مشترك)</t>
        </is>
      </c>
      <c r="I91" s="221">
        <f>$E$57</f>
        <v/>
      </c>
    </row>
    <row r="92">
      <c r="D92" s="214" t="inlineStr">
        <is>
          <t>صافي عدد المواقف المطلوبة بالقبو</t>
        </is>
      </c>
      <c r="I92" s="225">
        <f>MAX(0,I90-I91)</f>
        <v/>
      </c>
    </row>
    <row r="93">
      <c r="D93" s="214" t="inlineStr">
        <is>
          <t>مساحة القبو اللازمة للمواقف (م²)</t>
        </is>
      </c>
      <c r="I93" s="221">
        <f>I92*$E$58</f>
        <v/>
      </c>
    </row>
    <row r="94">
      <c r="D94" s="214" t="inlineStr">
        <is>
          <t>عدد أدوار القبو التقديري (المساحة ÷ مساحة الأرض، مقرباً لأعلى)</t>
        </is>
      </c>
      <c r="I94" s="229">
        <f>ROUNDUP(I93/$E$8,0)</f>
        <v/>
      </c>
    </row>
    <row r="96" ht="22.35" customHeight="1" s="241">
      <c r="A96" s="245" t="inlineStr">
        <is>
          <t>السيناريو (3): الدور الأرضي معارض تجارية + بقية الأدوار وحدات سكنية</t>
        </is>
      </c>
    </row>
    <row r="97">
      <c r="A97" s="244" t="inlineStr">
        <is>
          <t>توزيع الأدوار: الدور الأرضي بالكامل معارض/محلات تجارية على الواجهتين، والأدوار الأربعة العلوية شقق سكنية للبيع أو التأجير، مع دخول سيارات مستقل من الشارع الجانبي ومدخل مشاة مستقل للسكن.</t>
        </is>
      </c>
    </row>
    <row r="98" ht="24" customHeight="1" s="241">
      <c r="D98" s="212" t="inlineStr">
        <is>
          <t>البند</t>
        </is>
      </c>
      <c r="E98" s="223" t="inlineStr">
        <is>
          <t>سكني (شقق للبيع)</t>
        </is>
      </c>
      <c r="F98" s="223" t="inlineStr">
        <is>
          <t>مكتبي</t>
        </is>
      </c>
      <c r="G98" s="223" t="inlineStr">
        <is>
          <t>تجاري</t>
        </is>
      </c>
      <c r="H98" s="223" t="inlineStr">
        <is>
          <t>فندقي</t>
        </is>
      </c>
      <c r="I98" s="213" t="inlineStr">
        <is>
          <t>المجموع</t>
        </is>
      </c>
    </row>
    <row r="99">
      <c r="D99" s="214" t="inlineStr">
        <is>
          <t>المسطح الكلي المخصص للاستخدام (م²)</t>
        </is>
      </c>
      <c r="E99" s="221">
        <f>E34*2+E35*2</f>
        <v/>
      </c>
      <c r="F99" s="221" t="n">
        <v>0</v>
      </c>
      <c r="G99" s="221">
        <f>E33</f>
        <v/>
      </c>
      <c r="H99" s="221" t="n">
        <v>0</v>
      </c>
      <c r="I99" s="225">
        <f>SUM(E99:H99)</f>
        <v/>
      </c>
    </row>
    <row r="100">
      <c r="D100" s="214" t="inlineStr">
        <is>
          <t>نسبة المساحة الصافية (البيعية/التأجيرية)</t>
        </is>
      </c>
      <c r="E100" s="227" t="n">
        <v>0.85</v>
      </c>
      <c r="F100" s="227" t="n">
        <v>0</v>
      </c>
      <c r="G100" s="227" t="n">
        <v>0.9</v>
      </c>
      <c r="H100" s="227" t="n">
        <v>0</v>
      </c>
    </row>
    <row r="101">
      <c r="D101" s="214" t="inlineStr">
        <is>
          <t>المساحة الصافية (البيعية/التأجيرية) م²</t>
        </is>
      </c>
      <c r="E101" s="221">
        <f>E99*E100</f>
        <v/>
      </c>
      <c r="F101" s="221">
        <f>F99*F100</f>
        <v/>
      </c>
      <c r="G101" s="221">
        <f>G99*G100</f>
        <v/>
      </c>
      <c r="H101" s="221">
        <f>H99*H100</f>
        <v/>
      </c>
      <c r="I101" s="225">
        <f>SUM(E101:H101)</f>
        <v/>
      </c>
    </row>
    <row r="102">
      <c r="D102" s="214" t="inlineStr">
        <is>
          <t>متوسط مساحة الوحدة (0 = مساحة تأجيرية مباشرة)</t>
        </is>
      </c>
      <c r="E102" s="217" t="n">
        <v>130</v>
      </c>
      <c r="F102" s="217" t="n">
        <v>0</v>
      </c>
      <c r="G102" s="217" t="n">
        <v>0</v>
      </c>
      <c r="H102" s="217" t="n">
        <v>0</v>
      </c>
    </row>
    <row r="103">
      <c r="D103" s="214" t="inlineStr">
        <is>
          <t>عدد الوحدات / المحلات (أو المساحة التأجيرية م² إن لم يوجد متوسط)</t>
        </is>
      </c>
      <c r="E103" s="221">
        <f>IF(E102&gt;0,IFERROR(E101/E102,0),E101)</f>
        <v/>
      </c>
      <c r="F103" s="221">
        <f>IF(F102&gt;0,IFERROR(F101/F102,0),F101)</f>
        <v/>
      </c>
      <c r="G103" s="221">
        <f>IF(G102&gt;0,IFERROR(G101/G102,0),G101)</f>
        <v/>
      </c>
      <c r="H103" s="221">
        <f>IF(H102&gt;0,IFERROR(H101/H102,0),H101)</f>
        <v/>
      </c>
    </row>
    <row r="104">
      <c r="D104" s="214" t="inlineStr">
        <is>
          <t>معدل متطلبات الموقف حسب كود T5.3</t>
        </is>
      </c>
      <c r="E104" s="219" t="n">
        <v>1</v>
      </c>
      <c r="F104" s="219" t="n">
        <v>0</v>
      </c>
      <c r="G104" s="219" t="n">
        <v>33.33</v>
      </c>
      <c r="H104" s="219" t="n">
        <v>0</v>
      </c>
    </row>
    <row r="105">
      <c r="D105" s="214" t="inlineStr">
        <is>
          <t>وحدة المعدل</t>
        </is>
      </c>
      <c r="E105" s="228" t="inlineStr">
        <is>
          <t>موقف / وحدة سكنية</t>
        </is>
      </c>
      <c r="F105" s="228" t="n"/>
      <c r="G105" s="228" t="inlineStr">
        <is>
          <t>م² / موقف (3 مواقف/100م²)</t>
        </is>
      </c>
      <c r="H105" s="228" t="n"/>
    </row>
    <row r="106">
      <c r="D106" s="214" t="inlineStr">
        <is>
          <t>عدد المواقف المطلوبة</t>
        </is>
      </c>
      <c r="E106" s="221">
        <f>IF(E102&gt;0,E103*E104,IFERROR(E103/E104,0))</f>
        <v/>
      </c>
      <c r="F106" s="221">
        <f>IF(F102&gt;0,F103*F104,IFERROR(F103/F104,0))</f>
        <v/>
      </c>
      <c r="G106" s="221">
        <f>IF(G102&gt;0,G103*G104,IFERROR(G103/G104,0))</f>
        <v/>
      </c>
      <c r="H106" s="221">
        <f>IF(H102&gt;0,H103*H104,IFERROR(H103/H104,0))</f>
        <v/>
      </c>
      <c r="I106" s="225">
        <f>SUM(E106:H106)</f>
        <v/>
      </c>
    </row>
    <row r="107">
      <c r="D107" s="214" t="inlineStr">
        <is>
          <t>عدد المواقف السطحية المتاحة (من القسم رابعاً - مشترك)</t>
        </is>
      </c>
      <c r="I107" s="221">
        <f>$E$57</f>
        <v/>
      </c>
    </row>
    <row r="108">
      <c r="D108" s="214" t="inlineStr">
        <is>
          <t>صافي عدد المواقف المطلوبة بالقبو</t>
        </is>
      </c>
      <c r="I108" s="225">
        <f>MAX(0,I106-I107)</f>
        <v/>
      </c>
    </row>
    <row r="109">
      <c r="D109" s="214" t="inlineStr">
        <is>
          <t>مساحة القبو اللازمة للمواقف (م²)</t>
        </is>
      </c>
      <c r="I109" s="221">
        <f>I108*$E$58</f>
        <v/>
      </c>
    </row>
    <row r="110">
      <c r="D110" s="214" t="inlineStr">
        <is>
          <t>عدد أدوار القبو التقديري (المساحة ÷ مساحة الأرض، مقرباً لأعلى)</t>
        </is>
      </c>
      <c r="I110" s="229">
        <f>ROUNDUP(I109/$E$8,0)</f>
        <v/>
      </c>
    </row>
    <row r="112" ht="22.35" customHeight="1" s="241">
      <c r="A112" s="252" t="inlineStr">
        <is>
          <t>السيناريو (4): فندقي وضيافة</t>
        </is>
      </c>
    </row>
    <row r="113">
      <c r="A113" s="244" t="inlineStr">
        <is>
          <t>توزيع الأدوار: الدور الأرضي لوبي الاستقبال والمطاعم والخدمات المساندة، والأدوار الأربعة العلوية غرف فندقية؛ تُحسب كفاءة المساحة الصافية بمعدل منخفض (40%) لاستيعاب الممرات والبهو وقاعات الاجتماعات وخدمات الضيافة.</t>
        </is>
      </c>
    </row>
    <row r="114" ht="24" customHeight="1" s="241">
      <c r="D114" s="212" t="inlineStr">
        <is>
          <t>البند</t>
        </is>
      </c>
      <c r="E114" s="223" t="inlineStr">
        <is>
          <t>سكني (شقق للبيع)</t>
        </is>
      </c>
      <c r="F114" s="223" t="inlineStr">
        <is>
          <t>مكتبي</t>
        </is>
      </c>
      <c r="G114" s="223" t="inlineStr">
        <is>
          <t>تجاري</t>
        </is>
      </c>
      <c r="H114" s="223" t="inlineStr">
        <is>
          <t>فندقي</t>
        </is>
      </c>
      <c r="I114" s="213" t="inlineStr">
        <is>
          <t>المجموع</t>
        </is>
      </c>
    </row>
    <row r="115">
      <c r="D115" s="214" t="inlineStr">
        <is>
          <t>المسطح الكلي المخصص للاستخدام (م²)</t>
        </is>
      </c>
      <c r="E115" s="221" t="n">
        <v>0</v>
      </c>
      <c r="F115" s="221" t="n">
        <v>0</v>
      </c>
      <c r="G115" s="221" t="n">
        <v>0</v>
      </c>
      <c r="H115" s="221">
        <f>E33+E34*2+E35*2</f>
        <v/>
      </c>
      <c r="I115" s="225">
        <f>SUM(E115:H115)</f>
        <v/>
      </c>
    </row>
    <row r="116">
      <c r="D116" s="214" t="inlineStr">
        <is>
          <t>نسبة المساحة الصافية (البيعية/التأجيرية)</t>
        </is>
      </c>
      <c r="E116" s="227" t="n">
        <v>0</v>
      </c>
      <c r="F116" s="227" t="n">
        <v>0</v>
      </c>
      <c r="G116" s="227" t="n">
        <v>0</v>
      </c>
      <c r="H116" s="227" t="n">
        <v>0.4</v>
      </c>
    </row>
    <row r="117">
      <c r="D117" s="214" t="inlineStr">
        <is>
          <t>المساحة الصافية (البيعية/التأجيرية) م²</t>
        </is>
      </c>
      <c r="E117" s="221">
        <f>E115*E116</f>
        <v/>
      </c>
      <c r="F117" s="221">
        <f>F115*F116</f>
        <v/>
      </c>
      <c r="G117" s="221">
        <f>G115*G116</f>
        <v/>
      </c>
      <c r="H117" s="221">
        <f>H115*H116</f>
        <v/>
      </c>
      <c r="I117" s="225">
        <f>SUM(E117:H117)</f>
        <v/>
      </c>
    </row>
    <row r="118">
      <c r="D118" s="214" t="inlineStr">
        <is>
          <t>متوسط مساحة الوحدة (0 = مساحة تأجيرية مباشرة)</t>
        </is>
      </c>
      <c r="E118" s="217" t="n">
        <v>0</v>
      </c>
      <c r="F118" s="217" t="n">
        <v>0</v>
      </c>
      <c r="G118" s="217" t="n">
        <v>0</v>
      </c>
      <c r="H118" s="217" t="n">
        <v>32</v>
      </c>
    </row>
    <row r="119">
      <c r="D119" s="214" t="inlineStr">
        <is>
          <t>عدد الوحدات / المحلات (أو المساحة التأجيرية م² إن لم يوجد متوسط)</t>
        </is>
      </c>
      <c r="E119" s="221">
        <f>IF(E118&gt;0,IFERROR(E117/E118,0),E117)</f>
        <v/>
      </c>
      <c r="F119" s="221">
        <f>IF(F118&gt;0,IFERROR(F117/F118,0),F117)</f>
        <v/>
      </c>
      <c r="G119" s="221">
        <f>IF(G118&gt;0,IFERROR(G117/G118,0),G117)</f>
        <v/>
      </c>
      <c r="H119" s="221">
        <f>IF(H118&gt;0,IFERROR(H117/H118,0),H117)</f>
        <v/>
      </c>
    </row>
    <row r="120">
      <c r="D120" s="214" t="inlineStr">
        <is>
          <t>معدل متطلبات الموقف حسب كود T5.3</t>
        </is>
      </c>
      <c r="E120" s="219" t="n">
        <v>0</v>
      </c>
      <c r="F120" s="219" t="n">
        <v>0</v>
      </c>
      <c r="G120" s="219" t="n">
        <v>0</v>
      </c>
      <c r="H120" s="219" t="n">
        <v>1</v>
      </c>
    </row>
    <row r="121">
      <c r="D121" s="214" t="inlineStr">
        <is>
          <t>وحدة المعدل</t>
        </is>
      </c>
      <c r="E121" s="228" t="n"/>
      <c r="F121" s="228" t="n"/>
      <c r="G121" s="228" t="n"/>
      <c r="H121" s="228" t="inlineStr">
        <is>
          <t>موقف / غرفة فندقية</t>
        </is>
      </c>
    </row>
    <row r="122">
      <c r="D122" s="214" t="inlineStr">
        <is>
          <t>عدد المواقف المطلوبة</t>
        </is>
      </c>
      <c r="E122" s="221">
        <f>IF(E118&gt;0,E119*E120,IFERROR(E119/E120,0))</f>
        <v/>
      </c>
      <c r="F122" s="221">
        <f>IF(F118&gt;0,F119*F120,IFERROR(F119/F120,0))</f>
        <v/>
      </c>
      <c r="G122" s="221">
        <f>IF(G118&gt;0,G119*G120,IFERROR(G119/G120,0))</f>
        <v/>
      </c>
      <c r="H122" s="221">
        <f>IF(H118&gt;0,H119*H120,IFERROR(H119/H120,0))</f>
        <v/>
      </c>
      <c r="I122" s="225">
        <f>SUM(E122:H122)</f>
        <v/>
      </c>
    </row>
    <row r="123">
      <c r="D123" s="214" t="inlineStr">
        <is>
          <t>عدد المواقف السطحية المتاحة (من القسم رابعاً - مشترك)</t>
        </is>
      </c>
      <c r="I123" s="221">
        <f>$E$57</f>
        <v/>
      </c>
    </row>
    <row r="124">
      <c r="D124" s="214" t="inlineStr">
        <is>
          <t>صافي عدد المواقف المطلوبة بالقبو</t>
        </is>
      </c>
      <c r="I124" s="225">
        <f>MAX(0,I122-I123)</f>
        <v/>
      </c>
    </row>
    <row r="125">
      <c r="D125" s="214" t="inlineStr">
        <is>
          <t>مساحة القبو اللازمة للمواقف (م²)</t>
        </is>
      </c>
      <c r="I125" s="221">
        <f>I124*$E$58</f>
        <v/>
      </c>
    </row>
    <row r="126">
      <c r="D126" s="214" t="inlineStr">
        <is>
          <t>عدد أدوار القبو التقديري (المساحة ÷ مساحة الأرض، مقرباً لأعلى)</t>
        </is>
      </c>
      <c r="I126" s="229">
        <f>ROUNDUP(I125/$E$8,0)</f>
        <v/>
      </c>
    </row>
    <row r="128">
      <c r="A128" s="242" t="inlineStr">
        <is>
          <t>الوحدات ومعدلات الكفاءة والمواقف أعلاه قيم افتراضية قابلة للتعديل (باللون الأزرق) حسب دراسة السوق النهائية ومخرجات التصميم المعماري. أرقام المواقف والمعدلات مطابقة لكود T5.3 (اشتراطات المسار الرياضي) كما وردت في الدليل التطبيقي المرفق.</t>
        </is>
      </c>
    </row>
    <row r="130" ht="22.35" customHeight="1" s="241">
      <c r="A130" s="240" t="inlineStr">
        <is>
          <t>سادساً | جدول مقارنة سريع بين السيناريوهات الأربعة</t>
        </is>
      </c>
    </row>
    <row r="132" ht="30" customHeight="1" s="241">
      <c r="D132" s="223" t="inlineStr">
        <is>
          <t>السيناريو</t>
        </is>
      </c>
      <c r="E132" s="223" t="inlineStr">
        <is>
          <t>إجمالي المسطح البنائي فوق الأرض (م²)</t>
        </is>
      </c>
      <c r="F132" s="223" t="inlineStr">
        <is>
          <t>المساحة الصافية البيعية/التأجيرية (م²)</t>
        </is>
      </c>
      <c r="G132" s="223" t="inlineStr">
        <is>
          <t>عدد الوحدات/المحلات</t>
        </is>
      </c>
      <c r="H132" s="223" t="inlineStr">
        <is>
          <t>إجمالي المواقف المطلوبة</t>
        </is>
      </c>
      <c r="I132" s="223" t="inlineStr">
        <is>
          <t>عدد أدوار القبو التقديري</t>
        </is>
      </c>
    </row>
    <row r="133">
      <c r="D133" s="224" t="inlineStr">
        <is>
          <t>(1) برج سكني بالكامل</t>
        </is>
      </c>
      <c r="E133" s="221">
        <f>$I$67</f>
        <v/>
      </c>
      <c r="F133" s="221">
        <f>$I$69</f>
        <v/>
      </c>
      <c r="G133" s="221">
        <f>E71</f>
        <v/>
      </c>
      <c r="H133" s="221">
        <f>$I$74</f>
        <v/>
      </c>
      <c r="I133" s="230">
        <f>$I$78</f>
        <v/>
      </c>
    </row>
    <row r="134">
      <c r="D134" s="224" t="inlineStr">
        <is>
          <t>(2) تجاري أرضي + مكتبي علوي</t>
        </is>
      </c>
      <c r="E134" s="221">
        <f>$I$83</f>
        <v/>
      </c>
      <c r="F134" s="221">
        <f>$I$85</f>
        <v/>
      </c>
      <c r="G134" s="228" t="inlineStr">
        <is>
          <t>غير محسوب بالوحدة (مساحات تأجيرية)</t>
        </is>
      </c>
      <c r="H134" s="221">
        <f>$I$90</f>
        <v/>
      </c>
      <c r="I134" s="230">
        <f>$I$94</f>
        <v/>
      </c>
    </row>
    <row r="135">
      <c r="D135" s="224" t="inlineStr">
        <is>
          <t>(3) تجاري أرضي + سكني علوي</t>
        </is>
      </c>
      <c r="E135" s="221">
        <f>$I$99</f>
        <v/>
      </c>
      <c r="F135" s="221">
        <f>$I$101</f>
        <v/>
      </c>
      <c r="G135" s="221">
        <f>E103</f>
        <v/>
      </c>
      <c r="H135" s="221">
        <f>$I$106</f>
        <v/>
      </c>
      <c r="I135" s="230">
        <f>$I$110</f>
        <v/>
      </c>
    </row>
    <row r="136">
      <c r="D136" s="224" t="inlineStr">
        <is>
          <t>(4) فندقي وضيافة</t>
        </is>
      </c>
      <c r="E136" s="221">
        <f>$I$115</f>
        <v/>
      </c>
      <c r="F136" s="221">
        <f>$I$117</f>
        <v/>
      </c>
      <c r="G136" s="221">
        <f>H119</f>
        <v/>
      </c>
      <c r="H136" s="221">
        <f>$I$122</f>
        <v/>
      </c>
      <c r="I136" s="230">
        <f>$I$126</f>
        <v/>
      </c>
    </row>
  </sheetData>
  <mergeCells count="22">
    <mergeCell ref="A97:J97"/>
    <mergeCell ref="A62:J62"/>
    <mergeCell ref="A4:J4"/>
    <mergeCell ref="A81:J81"/>
    <mergeCell ref="A96:J96"/>
    <mergeCell ref="A28:J28"/>
    <mergeCell ref="A112:J112"/>
    <mergeCell ref="A19:J19"/>
    <mergeCell ref="A130:J130"/>
    <mergeCell ref="A30:J30"/>
    <mergeCell ref="A48:J48"/>
    <mergeCell ref="A64:J64"/>
    <mergeCell ref="A60:J60"/>
    <mergeCell ref="A1:J1"/>
    <mergeCell ref="A65:J65"/>
    <mergeCell ref="A128:J128"/>
    <mergeCell ref="A80:J80"/>
    <mergeCell ref="A21:J21"/>
    <mergeCell ref="A50:J50"/>
    <mergeCell ref="A113:J113"/>
    <mergeCell ref="A2:J2"/>
    <mergeCell ref="E38:G38"/>
  </mergeCells>
  <pageMargins left="0.75" right="0.75" top="1" bottom="1" header="0.5" footer="0.5"/>
  <pageSetup orientation="portrait" paperSize="9"/>
</worksheet>
</file>

<file path=xl/worksheets/sheet2.xml><?xml version="1.0" encoding="utf-8"?>
<worksheet xmlns="http://schemas.openxmlformats.org/spreadsheetml/2006/main">
  <sheetPr codeName="Sheet12">
    <outlinePr summaryBelow="1" summaryRight="1"/>
    <pageSetUpPr/>
  </sheetPr>
  <dimension ref="A1:AZ568"/>
  <sheetViews>
    <sheetView showGridLines="0" rightToLeft="1" tabSelected="1" topLeftCell="A149" zoomScale="85" zoomScaleNormal="85" workbookViewId="0">
      <selection activeCell="E168" sqref="E168"/>
    </sheetView>
  </sheetViews>
  <sheetFormatPr baseColWidth="8" defaultColWidth="0" defaultRowHeight="15"/>
  <cols>
    <col width="3.42578125" customWidth="1" style="12" min="1" max="3"/>
    <col width="46.140625" customWidth="1" style="13" min="4" max="4"/>
    <col width="14.7109375" customWidth="1" style="8" min="5" max="5"/>
    <col width="12.28515625" bestFit="1" customWidth="1" style="8" min="6" max="6"/>
    <col width="11.85546875" bestFit="1" customWidth="1" style="8" min="7" max="7"/>
    <col width="21.85546875" bestFit="1" customWidth="1" style="8" min="8" max="8"/>
    <col width="14.7109375" customWidth="1" style="8" min="9" max="18"/>
    <col width="15.7109375" customWidth="1" style="8" min="19" max="21"/>
    <col width="17.28515625" customWidth="1" style="8" min="22" max="27"/>
    <col hidden="1" width="13" customWidth="1" style="8" min="28" max="52"/>
    <col hidden="1" width="8.85546875" customWidth="1" style="8" min="53" max="53"/>
    <col hidden="1" width="8.85546875" customWidth="1" style="8" min="54" max="16384"/>
  </cols>
  <sheetData>
    <row r="1">
      <c r="A1" s="6" t="inlineStr">
        <is>
          <t>النموذج المالى - الندي</t>
        </is>
      </c>
      <c r="B1" s="6" t="n"/>
      <c r="C1" s="6" t="n"/>
      <c r="D1" s="7" t="n"/>
      <c r="E1" s="7" t="n"/>
      <c r="F1" s="6" t="n"/>
      <c r="G1" s="7" t="n"/>
      <c r="H1" s="7" t="n"/>
      <c r="I1" s="7" t="n"/>
      <c r="J1" s="7" t="n"/>
      <c r="K1" s="7" t="n"/>
      <c r="L1" s="7" t="n"/>
      <c r="M1" s="7" t="n"/>
      <c r="N1" s="7" t="n"/>
      <c r="O1" s="7" t="n"/>
      <c r="P1" s="7" t="n"/>
      <c r="Q1" s="7" t="n"/>
      <c r="R1" s="6" t="n"/>
      <c r="S1" s="7" t="n"/>
      <c r="T1" s="7" t="n"/>
      <c r="U1" s="7" t="n"/>
    </row>
    <row r="2">
      <c r="A2" s="6" t="inlineStr">
        <is>
          <t>نموذج  تطوير الأرض</t>
        </is>
      </c>
      <c r="B2" s="6" t="n"/>
      <c r="C2" s="6" t="n"/>
      <c r="D2" s="7" t="n"/>
      <c r="E2" s="7" t="n"/>
      <c r="F2" s="6" t="n"/>
      <c r="G2" s="7" t="n"/>
      <c r="H2" s="7" t="n"/>
      <c r="I2" s="7" t="n"/>
      <c r="J2" s="7" t="n"/>
      <c r="K2" s="7" t="n"/>
      <c r="L2" s="7" t="n"/>
      <c r="M2" s="7" t="n"/>
      <c r="N2" s="7" t="n"/>
      <c r="O2" s="7" t="n"/>
      <c r="P2" s="7" t="n"/>
      <c r="Q2" s="7" t="n"/>
      <c r="R2" s="6" t="n"/>
      <c r="S2" s="7" t="n"/>
      <c r="T2" s="7" t="n"/>
      <c r="U2" s="7" t="n"/>
    </row>
    <row r="3">
      <c r="A3" s="6" t="n"/>
      <c r="B3" s="6" t="n"/>
      <c r="C3" s="6" t="n"/>
      <c r="D3" s="7" t="n"/>
      <c r="E3" s="7" t="n"/>
      <c r="F3" s="6" t="n"/>
      <c r="G3" s="7" t="n"/>
      <c r="H3" s="7" t="n"/>
      <c r="I3" s="7" t="n"/>
      <c r="J3" s="7" t="n"/>
      <c r="K3" s="7" t="n"/>
      <c r="L3" s="7" t="n"/>
      <c r="M3" s="7" t="n"/>
      <c r="N3" s="7" t="n"/>
      <c r="O3" s="7" t="n"/>
      <c r="P3" s="7" t="n"/>
      <c r="Q3" s="7" t="n"/>
      <c r="R3" s="6" t="n"/>
      <c r="S3" s="7" t="n"/>
      <c r="T3" s="7" t="n"/>
      <c r="U3" s="7" t="n"/>
    </row>
    <row r="4">
      <c r="A4" s="9" t="inlineStr">
        <is>
          <t>أولا | وصف المشروع</t>
        </is>
      </c>
      <c r="B4" s="9" t="n"/>
      <c r="C4" s="9" t="n"/>
      <c r="D4" s="10" t="n"/>
      <c r="E4" s="11" t="n"/>
      <c r="F4" s="11" t="n"/>
      <c r="G4" s="11" t="n"/>
      <c r="H4" s="11" t="n"/>
      <c r="I4" s="11" t="n"/>
      <c r="J4" s="11" t="n"/>
      <c r="K4" s="11" t="n"/>
      <c r="L4" s="11" t="n"/>
      <c r="M4" s="11" t="n"/>
      <c r="N4" s="11" t="n"/>
      <c r="O4" s="11" t="n"/>
      <c r="P4" s="11" t="n"/>
      <c r="Q4" s="11" t="n"/>
      <c r="R4" s="11" t="n"/>
      <c r="S4" s="11" t="n"/>
      <c r="T4" s="11" t="n"/>
      <c r="U4" s="11" t="n"/>
      <c r="V4" s="11" t="n"/>
      <c r="W4" s="11" t="n"/>
      <c r="X4" s="11" t="n"/>
      <c r="Y4" s="11" t="n"/>
      <c r="Z4" s="11" t="n"/>
    </row>
    <row r="5">
      <c r="D5" s="12" t="inlineStr">
        <is>
          <t>مساحة الأرض</t>
        </is>
      </c>
      <c r="H5" s="33" t="n"/>
    </row>
    <row r="6" customFormat="1" s="153">
      <c r="A6" s="12" t="n"/>
      <c r="B6" s="12" t="n"/>
      <c r="C6" s="14" t="n"/>
      <c r="D6" s="14" t="inlineStr">
        <is>
          <t>البند</t>
        </is>
      </c>
      <c r="E6" s="15" t="inlineStr">
        <is>
          <t>القيمة</t>
        </is>
      </c>
    </row>
    <row r="7">
      <c r="C7" s="81" t="n"/>
      <c r="D7" s="81" t="inlineStr">
        <is>
          <t>اجمالي مساحة الأرض</t>
        </is>
      </c>
      <c r="E7" s="140" t="n">
        <v>2681</v>
      </c>
    </row>
    <row r="8">
      <c r="C8" s="13" t="n"/>
      <c r="D8" s="13" t="inlineStr">
        <is>
          <t>معامل البناء</t>
        </is>
      </c>
      <c r="E8" s="209" t="n">
        <v>3.58</v>
      </c>
    </row>
    <row r="9">
      <c r="C9" s="25" t="n"/>
      <c r="D9" s="25" t="inlineStr">
        <is>
          <t xml:space="preserve">المسطحات البنائية </t>
        </is>
      </c>
      <c r="E9" s="65">
        <f>E7*E8</f>
        <v/>
      </c>
    </row>
    <row r="11" ht="30" customHeight="1" s="241">
      <c r="C11" s="98" t="n"/>
      <c r="D11" s="98" t="inlineStr">
        <is>
          <t>البند</t>
        </is>
      </c>
      <c r="E11" s="99" t="inlineStr">
        <is>
          <t>شقق سكنية - للبيع</t>
        </is>
      </c>
      <c r="F11" s="99" t="inlineStr">
        <is>
          <t>المكتبي</t>
        </is>
      </c>
      <c r="G11" s="99" t="inlineStr">
        <is>
          <t>التجاري</t>
        </is>
      </c>
      <c r="H11" s="99" t="inlineStr">
        <is>
          <t>الفندقي</t>
        </is>
      </c>
      <c r="I11" s="158" t="inlineStr">
        <is>
          <t>المجموع</t>
        </is>
      </c>
    </row>
    <row r="12">
      <c r="C12" s="13" t="n"/>
      <c r="D12" s="13" t="inlineStr">
        <is>
          <t>نسبة توزيع الأرض</t>
        </is>
      </c>
      <c r="E12" s="159" t="n">
        <v>0</v>
      </c>
      <c r="F12" s="159" t="n">
        <v>0</v>
      </c>
      <c r="G12" s="159" t="n">
        <v>1</v>
      </c>
      <c r="H12" s="159" t="n">
        <v>0</v>
      </c>
      <c r="I12" s="177">
        <f>SUM(E12:H12)</f>
        <v/>
      </c>
    </row>
    <row r="13">
      <c r="C13" s="100" t="n"/>
      <c r="D13" s="100" t="inlineStr">
        <is>
          <t>مساحة الأرض م2</t>
        </is>
      </c>
      <c r="E13" s="160">
        <f>E12*$E$7</f>
        <v/>
      </c>
      <c r="F13" s="160">
        <f>F12*$E$7</f>
        <v/>
      </c>
      <c r="G13" s="160">
        <f>G12*$E$7</f>
        <v/>
      </c>
      <c r="H13" s="160">
        <f>H12*$E$7</f>
        <v/>
      </c>
      <c r="I13" s="161">
        <f>SUM(E13:H13)</f>
        <v/>
      </c>
    </row>
    <row r="14">
      <c r="C14" s="107" t="n"/>
      <c r="D14" s="107" t="inlineStr">
        <is>
          <t>نسبة البناء على الأرض</t>
        </is>
      </c>
      <c r="E14" s="102" t="n">
        <v>0</v>
      </c>
      <c r="F14" s="102" t="n">
        <v>0.75</v>
      </c>
      <c r="G14" s="102" t="n">
        <v>0.75</v>
      </c>
      <c r="H14" s="102" t="n">
        <v>0.3</v>
      </c>
      <c r="I14" s="162">
        <f>IFERROR(I15/I13,0)</f>
        <v/>
      </c>
    </row>
    <row r="15">
      <c r="C15" s="107" t="n"/>
      <c r="D15" s="107" t="inlineStr">
        <is>
          <t>المساحة المبنى عليها</t>
        </is>
      </c>
      <c r="E15" s="1">
        <f>E13*E14</f>
        <v/>
      </c>
      <c r="F15" s="1">
        <f>F13*F14</f>
        <v/>
      </c>
      <c r="G15" s="1">
        <f>G13*G14</f>
        <v/>
      </c>
      <c r="H15" s="1">
        <f>H13*H14</f>
        <v/>
      </c>
      <c r="I15" s="163">
        <f>SUM(E15:H15)</f>
        <v/>
      </c>
    </row>
    <row r="16">
      <c r="C16" s="13" t="n"/>
      <c r="D16" s="13" t="inlineStr">
        <is>
          <t>معامل البناء</t>
        </is>
      </c>
      <c r="E16" s="69">
        <f>$E$8</f>
        <v/>
      </c>
      <c r="F16" s="69">
        <f>$E$8</f>
        <v/>
      </c>
      <c r="G16" s="69">
        <f>$E$8</f>
        <v/>
      </c>
      <c r="H16" s="69">
        <f>$E$8</f>
        <v/>
      </c>
      <c r="I16" s="164">
        <f>I17/I13</f>
        <v/>
      </c>
    </row>
    <row r="17">
      <c r="C17" s="100" t="n"/>
      <c r="D17" s="100" t="inlineStr">
        <is>
          <t>المسطحات البنائية م2</t>
        </is>
      </c>
      <c r="E17" s="3">
        <f>E13*E16</f>
        <v/>
      </c>
      <c r="F17" s="3">
        <f>F13*F16</f>
        <v/>
      </c>
      <c r="G17" s="3">
        <f>G13*G16</f>
        <v/>
      </c>
      <c r="H17" s="3">
        <f>H13*H16</f>
        <v/>
      </c>
      <c r="I17" s="161">
        <f>SUM(E17:H17)</f>
        <v/>
      </c>
    </row>
    <row r="18">
      <c r="C18" s="165" t="n"/>
      <c r="D18" s="165" t="inlineStr">
        <is>
          <t>نسبة مسطحات كل مكون بالمشروع</t>
        </is>
      </c>
      <c r="E18" s="166">
        <f>E17/$I$17</f>
        <v/>
      </c>
      <c r="F18" s="166">
        <f>F17/$I$17</f>
        <v/>
      </c>
      <c r="G18" s="166">
        <f>G17/$I$17</f>
        <v/>
      </c>
      <c r="H18" s="166">
        <f>H17/$I$17</f>
        <v/>
      </c>
      <c r="I18" s="167">
        <f>I17/$I$17</f>
        <v/>
      </c>
    </row>
    <row r="19">
      <c r="C19" s="101" t="n"/>
      <c r="D19" s="101" t="inlineStr">
        <is>
          <t>عدد الأدوار</t>
        </is>
      </c>
      <c r="E19" s="103">
        <f>IFERROR(E17/E15,0)</f>
        <v/>
      </c>
      <c r="F19" s="103">
        <f>IFERROR(F17/F15,0)</f>
        <v/>
      </c>
      <c r="G19" s="103">
        <f>IFERROR(G17/G15,0)</f>
        <v/>
      </c>
      <c r="H19" s="103">
        <f>IFERROR(H17/H15,0)</f>
        <v/>
      </c>
      <c r="I19" s="168">
        <f>IFERROR(I17/I15,0)</f>
        <v/>
      </c>
    </row>
    <row r="20">
      <c r="C20" s="101" t="n"/>
      <c r="D20" s="101" t="inlineStr">
        <is>
          <t>نسبة المساحة الصافية</t>
        </is>
      </c>
      <c r="E20" s="169" t="n">
        <v>0.85</v>
      </c>
      <c r="F20" s="169" t="n">
        <v>0.85</v>
      </c>
      <c r="G20" s="169" t="n">
        <v>0.85</v>
      </c>
      <c r="H20" s="169" t="n">
        <v>0.4</v>
      </c>
      <c r="I20" s="162">
        <f>IFERROR(I21/I17,0)</f>
        <v/>
      </c>
    </row>
    <row r="21">
      <c r="C21" s="100" t="n"/>
      <c r="D21" s="100" t="inlineStr">
        <is>
          <t>المساحات الصافية م2</t>
        </is>
      </c>
      <c r="E21" s="3">
        <f>E17*E20</f>
        <v/>
      </c>
      <c r="F21" s="3">
        <f>F17*F20</f>
        <v/>
      </c>
      <c r="G21" s="3">
        <f>G17*G20</f>
        <v/>
      </c>
      <c r="H21" s="3">
        <f>H17*H20</f>
        <v/>
      </c>
      <c r="I21" s="161">
        <f>SUM(E21:H21)</f>
        <v/>
      </c>
    </row>
    <row r="22">
      <c r="C22" s="101" t="n"/>
      <c r="D22" s="101" t="inlineStr">
        <is>
          <t>متوسط مساحة الوحدة م2</t>
        </is>
      </c>
      <c r="E22" s="67" t="n">
        <v>0</v>
      </c>
      <c r="F22" s="67" t="n">
        <v>150</v>
      </c>
      <c r="G22" s="67" t="n">
        <v>150</v>
      </c>
      <c r="H22" s="67" t="n">
        <v>32</v>
      </c>
      <c r="I22" s="170" t="n"/>
    </row>
    <row r="23">
      <c r="C23" s="101" t="n"/>
      <c r="D23" s="101" t="inlineStr">
        <is>
          <t>عدد الوحدات - المساحات التأجيرية</t>
        </is>
      </c>
      <c r="E23" s="1">
        <f>IF(E22&gt;0,IFERROR(E21/E22,0),E21)</f>
        <v/>
      </c>
      <c r="F23" s="1">
        <f>IF(F22&gt;0,IFERROR(F21/F22,0),F21)</f>
        <v/>
      </c>
      <c r="G23" s="1">
        <f>IF(G22&gt;0,IFERROR(G21/G22,0),G21)</f>
        <v/>
      </c>
      <c r="H23" s="1">
        <f>IF(H22&gt;0,IFERROR(H21/H22,0),H21)</f>
        <v/>
      </c>
      <c r="I23" s="170" t="n"/>
    </row>
    <row r="24">
      <c r="C24" s="101" t="n"/>
      <c r="D24" s="101" t="inlineStr">
        <is>
          <t>متطلبات الموقف</t>
        </is>
      </c>
      <c r="E24" s="104" t="n">
        <v>1</v>
      </c>
      <c r="F24" s="104" t="n">
        <v>3.49</v>
      </c>
      <c r="G24" s="104" t="n">
        <v>3.49</v>
      </c>
      <c r="H24" s="104" t="n">
        <v>0.5</v>
      </c>
      <c r="I24" s="170" t="n"/>
    </row>
    <row r="25">
      <c r="C25" s="171" t="n"/>
      <c r="D25" s="171" t="inlineStr">
        <is>
          <t>عدد المواقف بالمشروع</t>
        </is>
      </c>
      <c r="E25" s="61">
        <f>IF(E22&gt;0,E23*E24,E23/E24)</f>
        <v/>
      </c>
      <c r="F25" s="61">
        <f>IF(F22&gt;0,F23*F24,F23/F24)</f>
        <v/>
      </c>
      <c r="G25" s="61">
        <f>IF(G22&gt;0,G23*G24,G23/G24)</f>
        <v/>
      </c>
      <c r="H25" s="61">
        <f>IF(H22&gt;0,H23*H24,H23/H24)</f>
        <v/>
      </c>
      <c r="I25" s="172">
        <f>SUM(E25:H25)</f>
        <v/>
      </c>
    </row>
    <row r="26">
      <c r="C26" s="107" t="n"/>
      <c r="D26" s="107" t="inlineStr">
        <is>
          <t>الموقع العام</t>
        </is>
      </c>
      <c r="E26" s="1">
        <f>E13-E15</f>
        <v/>
      </c>
      <c r="F26" s="1">
        <f>F13-F15</f>
        <v/>
      </c>
      <c r="G26" s="1">
        <f>G13-G15</f>
        <v/>
      </c>
      <c r="H26" s="1">
        <f>H13-H15</f>
        <v/>
      </c>
      <c r="I26" s="163">
        <f>SUM(E26:H26)</f>
        <v/>
      </c>
    </row>
    <row r="27">
      <c r="C27" s="107" t="n"/>
      <c r="D27" s="107" t="inlineStr">
        <is>
          <t>نسبة المخصص مواقف</t>
        </is>
      </c>
      <c r="E27" s="102" t="n">
        <v>0</v>
      </c>
      <c r="F27" s="102" t="n">
        <v>0.6</v>
      </c>
      <c r="G27" s="102" t="n">
        <v>0.6</v>
      </c>
      <c r="H27" s="102" t="n">
        <v>0</v>
      </c>
      <c r="I27" s="162">
        <f>IFERROR(I28/I26,0)</f>
        <v/>
      </c>
    </row>
    <row r="28">
      <c r="C28" s="108" t="n"/>
      <c r="D28" s="108" t="inlineStr">
        <is>
          <t>مساحة المواقف السطحية - أرضي</t>
        </is>
      </c>
      <c r="E28" s="4">
        <f>E26*E27</f>
        <v/>
      </c>
      <c r="F28" s="4">
        <f>F26*F27</f>
        <v/>
      </c>
      <c r="G28" s="4">
        <f>G26*G27</f>
        <v/>
      </c>
      <c r="H28" s="4">
        <f>H26*H27</f>
        <v/>
      </c>
      <c r="I28" s="173">
        <f>SUM(E28:H28)</f>
        <v/>
      </c>
    </row>
    <row r="29">
      <c r="C29" s="107" t="n"/>
      <c r="D29" s="107" t="inlineStr">
        <is>
          <t>متوسط مساحة الموقف - مبنى المواقف طوابق</t>
        </is>
      </c>
      <c r="E29" s="2" t="n">
        <v>25</v>
      </c>
      <c r="F29" s="2" t="n">
        <v>33</v>
      </c>
      <c r="G29" s="2" t="n">
        <v>33.33</v>
      </c>
      <c r="H29" s="2" t="n">
        <v>25</v>
      </c>
      <c r="I29" s="170" t="n"/>
    </row>
    <row r="30">
      <c r="C30" s="171" t="n"/>
      <c r="D30" s="171" t="inlineStr">
        <is>
          <t>عدد  المواقف السطحية</t>
        </is>
      </c>
      <c r="E30" s="61">
        <f>E28/E29</f>
        <v/>
      </c>
      <c r="F30" s="61">
        <f>F28/F29</f>
        <v/>
      </c>
      <c r="G30" s="61">
        <f>G28/G29</f>
        <v/>
      </c>
      <c r="H30" s="61">
        <f>H28/H29</f>
        <v/>
      </c>
      <c r="I30" s="172">
        <f>SUM(E30:H30)</f>
        <v/>
      </c>
    </row>
    <row r="31">
      <c r="C31" s="171" t="n"/>
      <c r="D31" s="171" t="inlineStr">
        <is>
          <t>عدد المواقف بالقبو لمكونات المشروع</t>
        </is>
      </c>
      <c r="E31" s="61">
        <f>IF(E30&gt;E25,0,E25-E30)</f>
        <v/>
      </c>
      <c r="F31" s="61">
        <f>IF(F30&gt;F25,0,F25-F30)</f>
        <v/>
      </c>
      <c r="G31" s="61">
        <f>IF(G30&gt;G25,0,G25-G30)</f>
        <v/>
      </c>
      <c r="H31" s="61">
        <f>IF(H30&gt;H25,0,H25-H30)</f>
        <v/>
      </c>
      <c r="I31" s="172">
        <f>SUM(E31:H31)</f>
        <v/>
      </c>
    </row>
    <row r="32">
      <c r="C32" s="101" t="n"/>
      <c r="D32" s="101" t="inlineStr">
        <is>
          <t>متوسط مساحة الموقف</t>
        </is>
      </c>
      <c r="E32" s="2" t="n">
        <v>42</v>
      </c>
      <c r="F32" s="2" t="n">
        <v>33</v>
      </c>
      <c r="G32" s="2" t="n">
        <v>33</v>
      </c>
      <c r="H32" s="2" t="n">
        <v>42</v>
      </c>
      <c r="I32" s="170" t="n"/>
    </row>
    <row r="33">
      <c r="C33" s="171" t="n"/>
      <c r="D33" s="171" t="inlineStr">
        <is>
          <t>مسطحات القبو للمواقف</t>
        </is>
      </c>
      <c r="E33" s="61">
        <f>E31*E32</f>
        <v/>
      </c>
      <c r="F33" s="61">
        <f>F31*F32</f>
        <v/>
      </c>
      <c r="G33" s="61">
        <f>G31*G32</f>
        <v/>
      </c>
      <c r="H33" s="61">
        <f>H31*H32</f>
        <v/>
      </c>
      <c r="I33" s="172">
        <f>SUM(E33:H33)</f>
        <v/>
      </c>
    </row>
    <row r="34">
      <c r="C34" s="13" t="n"/>
      <c r="D34" s="13" t="inlineStr">
        <is>
          <t>مسطحات خدمات إضافية بالقبو - BOH</t>
        </is>
      </c>
      <c r="E34" s="16" t="n">
        <v>0</v>
      </c>
      <c r="F34" s="16" t="n">
        <v>0</v>
      </c>
      <c r="G34" s="16" t="n">
        <v>0</v>
      </c>
      <c r="H34" s="16" t="n">
        <v>0</v>
      </c>
      <c r="I34" s="174">
        <f>SUM(E34:H34)</f>
        <v/>
      </c>
    </row>
    <row r="35">
      <c r="C35" s="105" t="n"/>
      <c r="D35" s="105" t="inlineStr">
        <is>
          <t>إجمالي مسطحات القبو بالمشروع</t>
        </is>
      </c>
      <c r="E35" s="106">
        <f>SUM(E33:E34)</f>
        <v/>
      </c>
      <c r="F35" s="106">
        <f>SUM(F33:F34)</f>
        <v/>
      </c>
      <c r="G35" s="106">
        <f>SUM(G33:G34)</f>
        <v/>
      </c>
      <c r="H35" s="106">
        <f>SUM(H33:H34)</f>
        <v/>
      </c>
      <c r="I35" s="175">
        <f>SUM(E35:H35)</f>
        <v/>
      </c>
    </row>
    <row r="36">
      <c r="C36" s="109" t="n"/>
      <c r="D36" s="109" t="inlineStr">
        <is>
          <t>عدد أدوار القبو -  المشروع</t>
        </is>
      </c>
      <c r="E36" s="110">
        <f>IFERROR(E35/E13,0)</f>
        <v/>
      </c>
      <c r="F36" s="110">
        <f>IFERROR(F35/F13,0)</f>
        <v/>
      </c>
      <c r="G36" s="110">
        <f>IFERROR(G35/G13,0)</f>
        <v/>
      </c>
      <c r="H36" s="110">
        <f>IFERROR(H35/H13,0)</f>
        <v/>
      </c>
      <c r="I36" s="176">
        <f>IFERROR(I35/I13,0)</f>
        <v/>
      </c>
    </row>
    <row r="39">
      <c r="A39" s="9" t="inlineStr">
        <is>
          <t>ثانيا | تكاليف المشروع</t>
        </is>
      </c>
      <c r="B39" s="9" t="n"/>
      <c r="C39" s="9" t="n"/>
      <c r="D39" s="10" t="n"/>
      <c r="E39" s="11" t="n"/>
      <c r="F39" s="11" t="n"/>
      <c r="G39" s="11" t="n"/>
      <c r="H39" s="11" t="n"/>
      <c r="I39" s="11" t="n"/>
      <c r="J39" s="11" t="n"/>
      <c r="K39" s="11" t="n"/>
      <c r="L39" s="11" t="n"/>
      <c r="M39" s="11" t="n"/>
      <c r="N39" s="11" t="n"/>
      <c r="O39" s="11" t="n"/>
      <c r="P39" s="11" t="n"/>
      <c r="Q39" s="11" t="n"/>
      <c r="R39" s="11" t="n"/>
      <c r="S39" s="11" t="n"/>
      <c r="T39" s="11" t="n"/>
      <c r="U39" s="11" t="n"/>
      <c r="V39" s="11" t="n"/>
      <c r="W39" s="11" t="n"/>
      <c r="X39" s="11" t="n"/>
      <c r="Y39" s="11" t="n"/>
      <c r="Z39" s="11" t="n"/>
      <c r="AA39" s="11" t="inlineStr"/>
    </row>
    <row r="40">
      <c r="D40" s="8" t="n"/>
    </row>
    <row r="41" customFormat="1" s="153">
      <c r="A41" s="12" t="n"/>
      <c r="B41" s="12" t="n"/>
      <c r="C41" s="14" t="inlineStr">
        <is>
          <t>تكلفة الأرض</t>
        </is>
      </c>
      <c r="D41" s="14" t="n"/>
      <c r="E41" s="15" t="inlineStr">
        <is>
          <t>أ</t>
        </is>
      </c>
      <c r="F41" s="15" t="inlineStr">
        <is>
          <t>ب</t>
        </is>
      </c>
      <c r="G41" s="15" t="inlineStr">
        <is>
          <t>أ x ب</t>
        </is>
      </c>
      <c r="H41" s="15" t="inlineStr">
        <is>
          <t>%</t>
        </is>
      </c>
    </row>
    <row r="42">
      <c r="D42" s="13" t="inlineStr">
        <is>
          <t>شراء الأرض</t>
        </is>
      </c>
      <c r="E42" s="8">
        <f>E7</f>
        <v/>
      </c>
      <c r="F42" s="152" t="n">
        <v>17000</v>
      </c>
      <c r="G42" s="8">
        <f>E42*F42</f>
        <v/>
      </c>
      <c r="H42" s="178">
        <f>G42/$G$61</f>
        <v/>
      </c>
      <c r="I42" s="8">
        <f>G42*2.5%</f>
        <v/>
      </c>
      <c r="M42" s="21" t="n"/>
    </row>
    <row r="43">
      <c r="D43" s="13" t="inlineStr">
        <is>
          <t>الضريبة</t>
        </is>
      </c>
      <c r="E43" s="8">
        <f>G42</f>
        <v/>
      </c>
      <c r="F43" s="20" t="n">
        <v>0</v>
      </c>
      <c r="G43" s="8">
        <f>F43*E43</f>
        <v/>
      </c>
      <c r="H43" s="178">
        <f>G43/$G$61</f>
        <v/>
      </c>
      <c r="M43" s="21" t="n"/>
    </row>
    <row r="44">
      <c r="C44" s="18" t="n"/>
      <c r="D44" s="18" t="inlineStr">
        <is>
          <t>تكلفة شراء الأرض</t>
        </is>
      </c>
      <c r="E44" s="19" t="n"/>
      <c r="F44" s="19" t="n"/>
      <c r="G44" s="19">
        <f>SUM(G42:G43)</f>
        <v/>
      </c>
      <c r="H44" s="179">
        <f>G44/$G$61</f>
        <v/>
      </c>
      <c r="M44" s="21" t="n"/>
    </row>
    <row r="45">
      <c r="C45" s="14" t="inlineStr">
        <is>
          <t>تكاليف البناء</t>
        </is>
      </c>
      <c r="D45" s="14" t="n"/>
      <c r="E45" s="15" t="inlineStr">
        <is>
          <t>أ</t>
        </is>
      </c>
      <c r="F45" s="15" t="inlineStr">
        <is>
          <t>ب</t>
        </is>
      </c>
      <c r="G45" s="15" t="inlineStr">
        <is>
          <t>أ x ب</t>
        </is>
      </c>
      <c r="H45" s="180" t="n"/>
      <c r="J45" s="231" t="inlineStr">
        <is>
          <t>متوسط سعر التنفيذ</t>
        </is>
      </c>
      <c r="K45" s="231" t="inlineStr">
        <is>
          <t>الفارق</t>
        </is>
      </c>
      <c r="M45" s="21" t="n"/>
    </row>
    <row r="46" hidden="1" s="241">
      <c r="D46" s="13" t="inlineStr">
        <is>
          <t>السكني شقق</t>
        </is>
      </c>
      <c r="E46" s="8">
        <f>E17</f>
        <v/>
      </c>
      <c r="F46" s="16" t="n">
        <v>0</v>
      </c>
      <c r="G46" s="8">
        <f>E46*F46</f>
        <v/>
      </c>
      <c r="H46" s="178">
        <f>G46/$G$61</f>
        <v/>
      </c>
      <c r="J46" s="16" t="n">
        <v>3000</v>
      </c>
      <c r="K46" s="8">
        <f>G46-(E46*J46)</f>
        <v/>
      </c>
      <c r="M46" s="21" t="n"/>
    </row>
    <row r="47" hidden="1" s="241">
      <c r="D47" s="13" t="inlineStr">
        <is>
          <t>المكتبي</t>
        </is>
      </c>
      <c r="E47" s="8">
        <f>F17</f>
        <v/>
      </c>
      <c r="F47" s="16" t="n">
        <v>2600</v>
      </c>
      <c r="G47" s="8">
        <f>F47*E47</f>
        <v/>
      </c>
      <c r="H47" s="178">
        <f>G47/$G$61</f>
        <v/>
      </c>
      <c r="J47" s="16" t="n">
        <v>2250</v>
      </c>
      <c r="K47" s="8">
        <f>G47-(E47*J47)</f>
        <v/>
      </c>
      <c r="M47" s="21" t="n"/>
    </row>
    <row r="48">
      <c r="D48" s="13" t="inlineStr">
        <is>
          <t>التجاري</t>
        </is>
      </c>
      <c r="E48" s="8">
        <f>G17</f>
        <v/>
      </c>
      <c r="F48" s="16" t="n">
        <v>2600</v>
      </c>
      <c r="G48" s="8">
        <f>F48*E48</f>
        <v/>
      </c>
      <c r="H48" s="178">
        <f>G48/$G$61</f>
        <v/>
      </c>
      <c r="J48" s="16" t="n">
        <v>2250</v>
      </c>
      <c r="K48" s="8">
        <f>G48-(E48*J48)</f>
        <v/>
      </c>
      <c r="M48" s="21" t="n"/>
    </row>
    <row r="49" hidden="1" s="241">
      <c r="D49" s="13" t="inlineStr">
        <is>
          <t>الفندقي</t>
        </is>
      </c>
      <c r="E49" s="8">
        <f>H17</f>
        <v/>
      </c>
      <c r="F49" s="16" t="n">
        <v>0</v>
      </c>
      <c r="G49" s="8">
        <f>F49*E49</f>
        <v/>
      </c>
      <c r="H49" s="178">
        <f>G49/$G$61</f>
        <v/>
      </c>
      <c r="J49" s="16" t="n">
        <v>0</v>
      </c>
      <c r="K49" s="8">
        <f>G49-(E49*J49)</f>
        <v/>
      </c>
      <c r="M49" s="21" t="n"/>
    </row>
    <row r="50" hidden="1" s="241">
      <c r="D50" s="13" t="inlineStr">
        <is>
          <t>خدمات إضافية بالقبو - BOH</t>
        </is>
      </c>
      <c r="E50" s="8">
        <f>I34</f>
        <v/>
      </c>
      <c r="F50" s="16" t="n">
        <v>0</v>
      </c>
      <c r="G50" s="8">
        <f>F50*E50</f>
        <v/>
      </c>
      <c r="H50" s="178">
        <f>G50/$G$61</f>
        <v/>
      </c>
      <c r="J50" s="16" t="n">
        <v>0</v>
      </c>
      <c r="K50" s="8">
        <f>G50-(E50*J50)</f>
        <v/>
      </c>
      <c r="M50" s="21" t="n"/>
    </row>
    <row r="51">
      <c r="D51" s="13" t="inlineStr">
        <is>
          <t>المواقف بالقبو</t>
        </is>
      </c>
      <c r="E51" s="8">
        <f>I33</f>
        <v/>
      </c>
      <c r="F51" s="16" t="n">
        <v>1500</v>
      </c>
      <c r="G51" s="8">
        <f>F51*E51</f>
        <v/>
      </c>
      <c r="H51" s="178">
        <f>G51/$G$61</f>
        <v/>
      </c>
      <c r="J51" s="16" t="n">
        <v>1200</v>
      </c>
      <c r="K51" s="8">
        <f>G51-(E51*J51)</f>
        <v/>
      </c>
      <c r="M51" s="21" t="n"/>
    </row>
    <row r="52">
      <c r="D52" s="13" t="inlineStr">
        <is>
          <t>الموقع العام</t>
        </is>
      </c>
      <c r="E52" s="8">
        <f>I26</f>
        <v/>
      </c>
      <c r="F52" s="16" t="n">
        <v>700</v>
      </c>
      <c r="G52" s="8">
        <f>F52*E52</f>
        <v/>
      </c>
      <c r="H52" s="178">
        <f>G52/$G$61</f>
        <v/>
      </c>
      <c r="J52" s="16" t="n">
        <v>300</v>
      </c>
      <c r="K52" s="8">
        <f>G52-(E52*J52)</f>
        <v/>
      </c>
      <c r="M52" s="21" t="n"/>
    </row>
    <row r="53">
      <c r="C53" s="18" t="n"/>
      <c r="D53" s="18" t="inlineStr">
        <is>
          <t>التكاليف المباشرة</t>
        </is>
      </c>
      <c r="E53" s="19" t="n"/>
      <c r="F53" s="35" t="n"/>
      <c r="G53" s="19">
        <f>SUM(G46:G52)</f>
        <v/>
      </c>
      <c r="H53" s="179">
        <f>G53/$G$61</f>
        <v/>
      </c>
      <c r="J53" s="19" t="inlineStr">
        <is>
          <t>ربح المقاولة</t>
        </is>
      </c>
      <c r="K53" s="19">
        <f>SUM(K45:K48)</f>
        <v/>
      </c>
      <c r="M53" s="21" t="n"/>
    </row>
    <row r="54">
      <c r="C54" s="14" t="inlineStr">
        <is>
          <t>التكاليف الغير مباشرة</t>
        </is>
      </c>
      <c r="D54" s="14" t="n"/>
      <c r="E54" s="15" t="n"/>
      <c r="F54" s="15" t="n"/>
      <c r="G54" s="15" t="n"/>
      <c r="H54" s="180" t="n"/>
      <c r="K54" s="8">
        <f>K53+G58</f>
        <v/>
      </c>
      <c r="M54" s="21" t="n"/>
    </row>
    <row r="55">
      <c r="D55" s="13" t="inlineStr">
        <is>
          <t>التكاليف الأخرى ( التصاميم ، الاشراف الهندسي ، الرسوم الحكومية ، IWC )</t>
        </is>
      </c>
      <c r="E55" s="8">
        <f>G53</f>
        <v/>
      </c>
      <c r="F55" s="46" t="n">
        <v>0.09</v>
      </c>
      <c r="G55" s="8">
        <f>F55*E55</f>
        <v/>
      </c>
      <c r="H55" s="178">
        <f>G55/$G$61</f>
        <v/>
      </c>
      <c r="M55" s="21" t="n"/>
    </row>
    <row r="56">
      <c r="D56" s="13" t="inlineStr">
        <is>
          <t>تسويق غير شامل السعي</t>
        </is>
      </c>
      <c r="E56" s="8">
        <f>E55</f>
        <v/>
      </c>
      <c r="F56" s="20" t="n">
        <v>0.02</v>
      </c>
      <c r="G56" s="8">
        <f>F56*E56</f>
        <v/>
      </c>
      <c r="H56" s="178">
        <f>G56/$G$61</f>
        <v/>
      </c>
      <c r="M56" s="21" t="n"/>
    </row>
    <row r="57">
      <c r="D57" s="13" t="inlineStr">
        <is>
          <t>السعي</t>
        </is>
      </c>
      <c r="E57" s="8">
        <f>E56</f>
        <v/>
      </c>
      <c r="F57" s="20" t="n">
        <v>0.03173016216329629</v>
      </c>
      <c r="G57" s="8">
        <f>F57*E57</f>
        <v/>
      </c>
      <c r="H57" s="178">
        <f>G57/$G$61</f>
        <v/>
      </c>
      <c r="J57" s="232" t="n"/>
      <c r="M57" s="21" t="n"/>
    </row>
    <row r="58">
      <c r="C58" s="40" t="n"/>
      <c r="D58" s="25" t="inlineStr">
        <is>
          <t>المطور</t>
        </is>
      </c>
      <c r="E58" s="8">
        <f>E57</f>
        <v/>
      </c>
      <c r="F58" s="30" t="n">
        <v>0.07000000000000001</v>
      </c>
      <c r="G58" s="26">
        <f>F58*E58</f>
        <v/>
      </c>
      <c r="H58" s="181">
        <f>G58/$G$61</f>
        <v/>
      </c>
      <c r="M58" s="21" t="n"/>
    </row>
    <row r="59">
      <c r="C59" s="18" t="n"/>
      <c r="D59" s="18" t="inlineStr">
        <is>
          <t>اجمالي التكاليف الأخرى</t>
        </is>
      </c>
      <c r="E59" s="19" t="n"/>
      <c r="F59" s="19" t="n"/>
      <c r="G59" s="19">
        <f>SUM(G55:G58)</f>
        <v/>
      </c>
      <c r="H59" s="179">
        <f>G59/$G$61</f>
        <v/>
      </c>
      <c r="J59" s="111" t="n"/>
      <c r="M59" s="21" t="n"/>
    </row>
    <row r="60">
      <c r="C60" s="114" t="n"/>
      <c r="D60" s="114" t="inlineStr">
        <is>
          <t>إجمالي تكاليف التطوير</t>
        </is>
      </c>
      <c r="E60" s="115" t="n"/>
      <c r="F60" s="115" t="n"/>
      <c r="G60" s="115">
        <f>G53+G59</f>
        <v/>
      </c>
      <c r="H60" s="182">
        <f>G60/$G$61</f>
        <v/>
      </c>
      <c r="J60" s="111" t="n"/>
      <c r="M60" s="21" t="n"/>
    </row>
    <row r="61">
      <c r="C61" s="183" t="n"/>
      <c r="D61" s="183" t="inlineStr">
        <is>
          <t>تكلفة المشروع</t>
        </is>
      </c>
      <c r="E61" s="184" t="n"/>
      <c r="F61" s="184" t="n"/>
      <c r="G61" s="184">
        <f>SUM(G44,G60)</f>
        <v/>
      </c>
      <c r="H61" s="185">
        <f>G61/$G$61</f>
        <v/>
      </c>
      <c r="J61" s="111" t="n"/>
      <c r="M61" s="21" t="n"/>
    </row>
    <row r="62">
      <c r="C62" s="8" t="n"/>
      <c r="D62" s="8" t="n"/>
      <c r="J62" s="111" t="n"/>
      <c r="M62" s="21" t="n"/>
    </row>
    <row r="64">
      <c r="A64" s="9" t="inlineStr">
        <is>
          <t>ثالثا | التمويل البنكي</t>
        </is>
      </c>
      <c r="B64" s="9" t="n"/>
      <c r="C64" s="9" t="n"/>
      <c r="D64" s="10" t="n"/>
      <c r="E64" s="11" t="n"/>
      <c r="F64" s="11" t="n"/>
      <c r="G64" s="11" t="n"/>
      <c r="H64" s="11" t="n"/>
      <c r="I64" s="11" t="n"/>
      <c r="J64" s="11" t="n"/>
      <c r="K64" s="11" t="n"/>
      <c r="L64" s="11" t="n"/>
      <c r="M64" s="11" t="n"/>
      <c r="N64" s="11" t="n"/>
      <c r="O64" s="11" t="n"/>
      <c r="P64" s="11" t="n"/>
      <c r="Q64" s="11" t="n"/>
      <c r="R64" s="11" t="n"/>
      <c r="S64" s="11" t="n"/>
      <c r="T64" s="11" t="n"/>
      <c r="U64" s="11" t="n"/>
      <c r="V64" s="11" t="n"/>
      <c r="W64" s="11" t="n"/>
      <c r="X64" s="11" t="n"/>
      <c r="Y64" s="11" t="n"/>
      <c r="Z64" s="11" t="n"/>
      <c r="AA64" s="11" t="inlineStr"/>
    </row>
    <row r="65">
      <c r="C65" s="12" t="inlineStr">
        <is>
          <t>افتراضات التمويل</t>
        </is>
      </c>
      <c r="G65" s="34" t="n"/>
      <c r="H65" s="34" t="n"/>
    </row>
    <row r="66" customFormat="1" s="13">
      <c r="A66" s="12" t="n"/>
      <c r="B66" s="12" t="n"/>
      <c r="C66" s="12" t="n"/>
      <c r="D66" s="36" t="inlineStr">
        <is>
          <t>البند</t>
        </is>
      </c>
      <c r="E66" s="37" t="inlineStr">
        <is>
          <t>القيمة</t>
        </is>
      </c>
      <c r="F66" s="8" t="n"/>
      <c r="G66" s="34" t="n"/>
      <c r="H66" s="34" t="n"/>
      <c r="I66" s="8" t="n"/>
      <c r="J66" s="8" t="n"/>
      <c r="K66" s="8" t="n"/>
      <c r="L66" s="8" t="n"/>
      <c r="M66" s="8" t="n"/>
      <c r="N66" s="8" t="n"/>
      <c r="O66" s="8" t="n"/>
      <c r="P66" s="8" t="n"/>
    </row>
    <row r="67" customFormat="1" s="13">
      <c r="A67" s="12" t="n"/>
      <c r="B67" s="12" t="n"/>
      <c r="C67" s="12" t="n"/>
      <c r="D67" s="13" t="inlineStr">
        <is>
          <t>تكلفة المشروع</t>
        </is>
      </c>
      <c r="E67" s="8">
        <f>G61</f>
        <v/>
      </c>
      <c r="F67" s="8" t="n"/>
      <c r="G67" s="8" t="n"/>
      <c r="H67" s="8" t="n"/>
      <c r="I67" s="8" t="n"/>
      <c r="J67" s="8" t="n"/>
      <c r="K67" s="8" t="n"/>
      <c r="L67" s="8" t="n"/>
      <c r="M67" s="8" t="n"/>
      <c r="N67" s="8" t="n"/>
      <c r="O67" s="8" t="n"/>
      <c r="P67" s="8" t="n"/>
    </row>
    <row r="68" customFormat="1" s="13">
      <c r="A68" s="12" t="n"/>
      <c r="B68" s="12" t="n"/>
      <c r="C68" s="12" t="n"/>
      <c r="D68" s="13" t="inlineStr">
        <is>
          <t>نسبة التمويل البنكي</t>
        </is>
      </c>
      <c r="E68" s="20" t="n">
        <v>0</v>
      </c>
      <c r="F68" s="8" t="n"/>
      <c r="G68" s="8" t="n"/>
      <c r="H68" s="8" t="n"/>
      <c r="I68" s="8" t="n"/>
      <c r="J68" s="8" t="n"/>
      <c r="K68" s="8">
        <f>E86*2000</f>
        <v/>
      </c>
      <c r="L68" s="8" t="n"/>
      <c r="M68" s="8" t="n"/>
      <c r="N68" s="8" t="n"/>
      <c r="O68" s="8" t="n"/>
      <c r="P68" s="8" t="n"/>
    </row>
    <row r="69" customFormat="1" s="13">
      <c r="A69" s="12" t="n"/>
      <c r="B69" s="12" t="n"/>
      <c r="C69" s="12" t="n"/>
      <c r="D69" s="38" t="inlineStr">
        <is>
          <t>مبلغ التمويل البنكي</t>
        </is>
      </c>
      <c r="E69" s="112">
        <f>E67*E68</f>
        <v/>
      </c>
      <c r="F69" s="8" t="n"/>
      <c r="G69" s="8" t="n"/>
      <c r="H69" s="8" t="n"/>
      <c r="I69" s="8" t="n"/>
      <c r="J69" s="8" t="n"/>
      <c r="K69" s="235">
        <f>K68/G61</f>
        <v/>
      </c>
      <c r="L69" s="8" t="n"/>
      <c r="M69" s="8" t="n"/>
      <c r="N69" s="8" t="n"/>
      <c r="O69" s="8" t="n"/>
      <c r="P69" s="8" t="n"/>
    </row>
    <row r="70" customFormat="1" s="13">
      <c r="A70" s="12" t="n"/>
      <c r="B70" s="12" t="n"/>
      <c r="C70" s="12" t="n"/>
      <c r="D70" s="12" t="inlineStr">
        <is>
          <t>نسبة التمويل الى الارض</t>
        </is>
      </c>
      <c r="E70" s="116">
        <f>E69/G42</f>
        <v/>
      </c>
      <c r="F70" s="8" t="n"/>
      <c r="G70" s="8" t="n"/>
      <c r="H70" s="8" t="n"/>
      <c r="I70" s="8" t="n"/>
      <c r="J70" s="8" t="n"/>
      <c r="K70" s="8" t="n"/>
      <c r="L70" s="8" t="n"/>
      <c r="M70" s="8" t="n"/>
      <c r="N70" s="8" t="n"/>
      <c r="O70" s="8" t="n"/>
      <c r="P70" s="8" t="n"/>
    </row>
    <row r="71" customFormat="1" s="13">
      <c r="A71" s="12" t="n"/>
      <c r="B71" s="12" t="n"/>
      <c r="C71" s="12" t="n"/>
      <c r="D71" s="25" t="inlineStr">
        <is>
          <t>نسبة المرابحة</t>
        </is>
      </c>
      <c r="E71" s="62" t="n">
        <v>0.065</v>
      </c>
      <c r="F71" s="8" t="n"/>
      <c r="G71" s="8" t="n"/>
      <c r="H71" s="8" t="n"/>
      <c r="I71" s="8" t="n"/>
      <c r="J71" s="8" t="n"/>
      <c r="K71" s="8" t="n"/>
      <c r="L71" s="8" t="n"/>
      <c r="M71" s="8" t="n"/>
      <c r="N71" s="8" t="n"/>
      <c r="O71" s="8" t="n"/>
      <c r="P71" s="8" t="n"/>
    </row>
    <row r="72" customFormat="1" s="13">
      <c r="A72" s="12" t="n"/>
      <c r="B72" s="12" t="n"/>
      <c r="C72" s="12" t="inlineStr">
        <is>
          <t>حركة التمويل</t>
        </is>
      </c>
      <c r="E72" s="8" t="n"/>
      <c r="F72" s="8" t="n"/>
      <c r="G72" s="8" t="n"/>
      <c r="H72" s="8" t="n"/>
      <c r="I72" s="8" t="n"/>
      <c r="J72" s="8" t="n"/>
      <c r="K72" s="8" t="n"/>
      <c r="L72" s="8" t="n"/>
      <c r="M72" s="8" t="n"/>
      <c r="N72" s="8" t="n"/>
      <c r="O72" s="8" t="n"/>
      <c r="P72" s="8" t="n"/>
    </row>
    <row r="73" customFormat="1" s="13">
      <c r="A73" s="12" t="n"/>
      <c r="B73" s="12" t="n"/>
      <c r="C73" s="12" t="n"/>
      <c r="D73" s="36" t="inlineStr">
        <is>
          <t>السنة</t>
        </is>
      </c>
      <c r="E73" s="37" t="inlineStr">
        <is>
          <t>مساعد</t>
        </is>
      </c>
      <c r="F73" s="37" t="n">
        <v>0</v>
      </c>
      <c r="G73" s="37">
        <f>F73+1</f>
        <v/>
      </c>
      <c r="H73" s="37">
        <f>G73+1</f>
        <v/>
      </c>
      <c r="I73" s="37">
        <f>H73+1</f>
        <v/>
      </c>
      <c r="J73" s="37">
        <f>I73+1</f>
        <v/>
      </c>
      <c r="K73" s="37">
        <f>J73+1</f>
        <v/>
      </c>
      <c r="L73" s="37">
        <f>K73+1</f>
        <v/>
      </c>
      <c r="M73" s="37">
        <f>L73+1</f>
        <v/>
      </c>
      <c r="N73" s="37">
        <f>M73+1</f>
        <v/>
      </c>
      <c r="O73" s="37">
        <f>N73+1</f>
        <v/>
      </c>
      <c r="P73" s="37">
        <f>O73+1</f>
        <v/>
      </c>
      <c r="Q73" s="37">
        <f>P73+1</f>
        <v/>
      </c>
      <c r="R73" s="37">
        <f>Q73+1</f>
        <v/>
      </c>
      <c r="S73" s="37">
        <f>R73+1</f>
        <v/>
      </c>
      <c r="T73" s="37">
        <f>S73+1</f>
        <v/>
      </c>
      <c r="U73" s="37">
        <f>T73+1</f>
        <v/>
      </c>
      <c r="V73" s="37">
        <f>U73+1</f>
        <v/>
      </c>
      <c r="W73" s="37">
        <f>V73+1</f>
        <v/>
      </c>
      <c r="X73" s="37">
        <f>W73+1</f>
        <v/>
      </c>
      <c r="Y73" s="37">
        <f>X73+1</f>
        <v/>
      </c>
      <c r="Z73" s="37">
        <f>Y73+1</f>
        <v/>
      </c>
    </row>
    <row r="74" customFormat="1" s="13">
      <c r="A74" s="12" t="n"/>
      <c r="B74" s="12" t="n"/>
      <c r="C74" s="12" t="n"/>
      <c r="D74" s="13" t="inlineStr">
        <is>
          <t>اول المدة</t>
        </is>
      </c>
      <c r="E74" s="8" t="n"/>
      <c r="F74" s="16" t="n"/>
      <c r="G74" s="16" t="n">
        <v>0</v>
      </c>
      <c r="H74" s="8">
        <f>G77</f>
        <v/>
      </c>
      <c r="I74" s="8">
        <f>H77</f>
        <v/>
      </c>
      <c r="J74" s="8">
        <f>I77</f>
        <v/>
      </c>
      <c r="K74" s="8">
        <f>J77</f>
        <v/>
      </c>
      <c r="L74" s="8">
        <f>K77</f>
        <v/>
      </c>
      <c r="M74" s="8">
        <f>L77</f>
        <v/>
      </c>
      <c r="N74" s="8">
        <f>M77</f>
        <v/>
      </c>
      <c r="O74" s="8">
        <f>N77</f>
        <v/>
      </c>
      <c r="P74" s="8">
        <f>O77</f>
        <v/>
      </c>
      <c r="Q74" s="8">
        <f>P77</f>
        <v/>
      </c>
      <c r="R74" s="8">
        <f>Q77</f>
        <v/>
      </c>
      <c r="S74" s="8">
        <f>R77</f>
        <v/>
      </c>
      <c r="T74" s="8">
        <f>S77</f>
        <v/>
      </c>
      <c r="U74" s="8">
        <f>T77</f>
        <v/>
      </c>
      <c r="V74" s="8">
        <f>U77</f>
        <v/>
      </c>
      <c r="W74" s="8">
        <f>V77</f>
        <v/>
      </c>
      <c r="X74" s="8">
        <f>W77</f>
        <v/>
      </c>
      <c r="Y74" s="8">
        <f>X77</f>
        <v/>
      </c>
      <c r="Z74" s="8">
        <f>Y77</f>
        <v/>
      </c>
    </row>
    <row r="75" customFormat="1" s="13">
      <c r="A75" s="12" t="n"/>
      <c r="B75" s="12" t="n"/>
      <c r="C75" s="12" t="n"/>
      <c r="D75" s="13" t="inlineStr">
        <is>
          <t>سحب</t>
        </is>
      </c>
      <c r="E75" s="8" t="n"/>
      <c r="F75" s="8" t="n"/>
      <c r="G75" s="8">
        <f>G172*$E$69</f>
        <v/>
      </c>
      <c r="H75" s="8">
        <f>H172*$E$69</f>
        <v/>
      </c>
      <c r="I75" s="8">
        <f>I172*$E$69</f>
        <v/>
      </c>
      <c r="J75" s="8">
        <f>J172*$E$69</f>
        <v/>
      </c>
      <c r="K75" s="8">
        <f>K172*$E$69</f>
        <v/>
      </c>
      <c r="L75" s="8">
        <f>L172*$E$69</f>
        <v/>
      </c>
      <c r="M75" s="8">
        <f>M172*$E$69</f>
        <v/>
      </c>
      <c r="N75" s="8">
        <f>N172*$E$69</f>
        <v/>
      </c>
      <c r="O75" s="8">
        <f>O172*$E$69</f>
        <v/>
      </c>
      <c r="P75" s="8">
        <f>P172*$E$69</f>
        <v/>
      </c>
      <c r="Q75" s="8">
        <f>Q172*$E$69</f>
        <v/>
      </c>
      <c r="R75" s="8">
        <f>R172*$E$69</f>
        <v/>
      </c>
      <c r="S75" s="8">
        <f>S172*$E$69</f>
        <v/>
      </c>
      <c r="T75" s="8">
        <f>T172*$E$69</f>
        <v/>
      </c>
      <c r="U75" s="8">
        <f>U172*$E$69</f>
        <v/>
      </c>
      <c r="V75" s="8">
        <f>V172*$E$69</f>
        <v/>
      </c>
      <c r="W75" s="8">
        <f>W172*$E$69</f>
        <v/>
      </c>
      <c r="X75" s="8">
        <f>X172*$E$69</f>
        <v/>
      </c>
      <c r="Y75" s="8">
        <f>Y172*$E$69</f>
        <v/>
      </c>
      <c r="Z75" s="8">
        <f>Z172*$E$69</f>
        <v/>
      </c>
    </row>
    <row r="76" customFormat="1" s="13">
      <c r="A76" s="12" t="n"/>
      <c r="B76" s="12" t="n"/>
      <c r="C76" s="12" t="n"/>
      <c r="D76" s="13" t="inlineStr">
        <is>
          <t>سداد</t>
        </is>
      </c>
      <c r="E76" s="8" t="n"/>
      <c r="F76" s="8" t="n"/>
      <c r="G76" s="8">
        <f>-G173*$E$69</f>
        <v/>
      </c>
      <c r="H76" s="8">
        <f>-H173*$E$69</f>
        <v/>
      </c>
      <c r="I76" s="8">
        <f>-I173*$E$69</f>
        <v/>
      </c>
      <c r="J76" s="8">
        <f>-J173*$E$69</f>
        <v/>
      </c>
      <c r="K76" s="8">
        <f>-K173*$E$69</f>
        <v/>
      </c>
      <c r="L76" s="8">
        <f>-L173*$E$69</f>
        <v/>
      </c>
      <c r="M76" s="8">
        <f>-M173*$E$69</f>
        <v/>
      </c>
      <c r="N76" s="8">
        <f>-N173*$E$69</f>
        <v/>
      </c>
      <c r="O76" s="8">
        <f>-O173*$E$69</f>
        <v/>
      </c>
      <c r="P76" s="8">
        <f>-P173*$E$69</f>
        <v/>
      </c>
      <c r="Q76" s="8">
        <f>-Q173*$E$69</f>
        <v/>
      </c>
      <c r="R76" s="8">
        <f>-R173*$E$69</f>
        <v/>
      </c>
      <c r="S76" s="8">
        <f>-S173*$E$69</f>
        <v/>
      </c>
      <c r="T76" s="8">
        <f>-T173*$E$69</f>
        <v/>
      </c>
      <c r="U76" s="8">
        <f>-U173*$E$69</f>
        <v/>
      </c>
      <c r="V76" s="8">
        <f>-V173*$E$69</f>
        <v/>
      </c>
      <c r="W76" s="8">
        <f>-W173*$E$69</f>
        <v/>
      </c>
      <c r="X76" s="8">
        <f>-X173*$E$69</f>
        <v/>
      </c>
      <c r="Y76" s="8">
        <f>-Y173*$E$69</f>
        <v/>
      </c>
      <c r="Z76" s="8">
        <f>-Z173*$E$69</f>
        <v/>
      </c>
    </row>
    <row r="77" customFormat="1" s="13">
      <c r="A77" s="12" t="n"/>
      <c r="B77" s="12" t="n"/>
      <c r="C77" s="12" t="n"/>
      <c r="D77" s="38" t="inlineStr">
        <is>
          <t>اخر المدة</t>
        </is>
      </c>
      <c r="E77" s="39" t="n"/>
      <c r="F77" s="39">
        <f>SUM(F74:F76)</f>
        <v/>
      </c>
      <c r="G77" s="39">
        <f>SUM(G74:G76)</f>
        <v/>
      </c>
      <c r="H77" s="39">
        <f>SUM(H74:H76)</f>
        <v/>
      </c>
      <c r="I77" s="39">
        <f>SUM(I74:I76)</f>
        <v/>
      </c>
      <c r="J77" s="39">
        <f>SUM(J74:J76)</f>
        <v/>
      </c>
      <c r="K77" s="39">
        <f>SUM(K74:K76)</f>
        <v/>
      </c>
      <c r="L77" s="39">
        <f>SUM(L74:L76)</f>
        <v/>
      </c>
      <c r="M77" s="39">
        <f>SUM(M74:M76)</f>
        <v/>
      </c>
      <c r="N77" s="39">
        <f>SUM(N74:N76)</f>
        <v/>
      </c>
      <c r="O77" s="39">
        <f>SUM(O74:O76)</f>
        <v/>
      </c>
      <c r="P77" s="39">
        <f>SUM(P74:P76)</f>
        <v/>
      </c>
      <c r="Q77" s="39">
        <f>SUM(Q74:Q76)</f>
        <v/>
      </c>
      <c r="R77" s="39">
        <f>SUM(R74:R76)</f>
        <v/>
      </c>
      <c r="S77" s="39">
        <f>SUM(S74:S76)</f>
        <v/>
      </c>
      <c r="T77" s="39">
        <f>SUM(T74:T76)</f>
        <v/>
      </c>
      <c r="U77" s="39">
        <f>SUM(U74:U76)</f>
        <v/>
      </c>
      <c r="V77" s="39">
        <f>SUM(V74:V76)</f>
        <v/>
      </c>
      <c r="W77" s="39">
        <f>SUM(W74:W76)</f>
        <v/>
      </c>
      <c r="X77" s="39">
        <f>SUM(X74:X76)</f>
        <v/>
      </c>
      <c r="Y77" s="39">
        <f>SUM(Y74:Y76)</f>
        <v/>
      </c>
      <c r="Z77" s="39">
        <f>SUM(Z74:Z76)</f>
        <v/>
      </c>
    </row>
    <row r="78">
      <c r="D78" s="40" t="inlineStr">
        <is>
          <t>المرابحة</t>
        </is>
      </c>
      <c r="E78" s="32" t="n"/>
      <c r="F78" s="32">
        <f>SUM(F74:F75)*-$E$71</f>
        <v/>
      </c>
      <c r="G78" s="32">
        <f>SUM(G74:G75)*-$E$71</f>
        <v/>
      </c>
      <c r="H78" s="32">
        <f>SUM(H74:H75)*-$E$71</f>
        <v/>
      </c>
      <c r="I78" s="32">
        <f>SUM(I74:I75)*-$E$71</f>
        <v/>
      </c>
      <c r="J78" s="32">
        <f>SUM(J74:J75)*-$E$71</f>
        <v/>
      </c>
      <c r="K78" s="32">
        <f>SUM(K74:K75)*-$E$71</f>
        <v/>
      </c>
      <c r="L78" s="32">
        <f>SUM(L74:L75)*-$E$71</f>
        <v/>
      </c>
      <c r="M78" s="32">
        <f>SUM(M74:M75)*-$E$71</f>
        <v/>
      </c>
      <c r="N78" s="32">
        <f>SUM(N74:N75)*-$E$71</f>
        <v/>
      </c>
      <c r="O78" s="32">
        <f>SUM(O74:O75)*-$E$71</f>
        <v/>
      </c>
      <c r="P78" s="32">
        <f>SUM(P74:P75)*-$E$71</f>
        <v/>
      </c>
      <c r="Q78" s="32">
        <f>SUM(Q74:Q75)*-$E$71</f>
        <v/>
      </c>
      <c r="R78" s="32">
        <f>SUM(R74:R75)*-$E$71</f>
        <v/>
      </c>
      <c r="S78" s="32">
        <f>SUM(S74:S75)*-$E$71</f>
        <v/>
      </c>
      <c r="T78" s="32">
        <f>SUM(T74:T75)*-$E$71</f>
        <v/>
      </c>
      <c r="U78" s="32">
        <f>SUM(U74:U75)*-$E$71</f>
        <v/>
      </c>
      <c r="V78" s="32">
        <f>SUM(V74:V75)*-$E$71</f>
        <v/>
      </c>
      <c r="W78" s="32">
        <f>SUM(W74:W75)*-$E$71</f>
        <v/>
      </c>
      <c r="X78" s="32">
        <f>SUM(X74:X75)*-$E$71</f>
        <v/>
      </c>
      <c r="Y78" s="32">
        <f>SUM(Y74:Y75)*-$E$71</f>
        <v/>
      </c>
      <c r="Z78" s="32">
        <f>SUM(Z74:Z75)*-$E$71</f>
        <v/>
      </c>
    </row>
    <row r="79">
      <c r="B79" s="12" t="inlineStr"/>
      <c r="C79" s="12" t="inlineStr"/>
    </row>
    <row r="80">
      <c r="A80" s="9" t="inlineStr">
        <is>
          <t>رابعا | التدفقات النقدية  -  البيع على الخارطة</t>
        </is>
      </c>
      <c r="B80" s="9" t="n"/>
      <c r="C80" s="9" t="n"/>
      <c r="D80" s="10" t="n"/>
      <c r="E80" s="11" t="n"/>
      <c r="F80" s="11" t="n"/>
      <c r="G80" s="11" t="n"/>
      <c r="H80" s="11" t="n"/>
      <c r="I80" s="11" t="n"/>
      <c r="J80" s="11" t="n"/>
      <c r="K80" s="11" t="n"/>
      <c r="L80" s="11" t="n"/>
      <c r="M80" s="11" t="n"/>
      <c r="N80" s="11" t="n"/>
      <c r="O80" s="11" t="n"/>
      <c r="P80" s="11" t="n"/>
      <c r="Q80" s="11" t="n"/>
      <c r="R80" s="11" t="n"/>
      <c r="S80" s="11" t="n"/>
      <c r="T80" s="11" t="n"/>
      <c r="U80" s="11" t="n"/>
      <c r="V80" s="11" t="n"/>
      <c r="W80" s="11" t="n"/>
      <c r="X80" s="11" t="n"/>
      <c r="Y80" s="11" t="n"/>
      <c r="Z80" s="11" t="n"/>
      <c r="AA80" s="11" t="inlineStr"/>
    </row>
    <row r="82">
      <c r="G82" s="117" t="n"/>
      <c r="H82" s="117" t="n"/>
      <c r="I82" s="117" t="n"/>
      <c r="J82" s="117" t="n"/>
    </row>
    <row r="83">
      <c r="C83" s="14" t="n"/>
      <c r="D83" s="14" t="inlineStr">
        <is>
          <t>البند</t>
        </is>
      </c>
      <c r="E83" s="15" t="inlineStr">
        <is>
          <t>مساعد</t>
        </is>
      </c>
      <c r="F83" s="37" t="n">
        <v>0</v>
      </c>
      <c r="G83" s="71" t="n">
        <v>1</v>
      </c>
      <c r="H83" s="71">
        <f>G83+1</f>
        <v/>
      </c>
      <c r="I83" s="71">
        <f>H83+1</f>
        <v/>
      </c>
      <c r="J83" s="71">
        <f>I83+1</f>
        <v/>
      </c>
      <c r="K83" s="71">
        <f>J83+1</f>
        <v/>
      </c>
      <c r="L83" s="71">
        <f>K83+1</f>
        <v/>
      </c>
      <c r="M83" s="71">
        <f>L83+1</f>
        <v/>
      </c>
      <c r="N83" s="71">
        <f>M83+1</f>
        <v/>
      </c>
      <c r="O83" s="71">
        <f>N83+1</f>
        <v/>
      </c>
      <c r="P83" s="71">
        <f>O83+1</f>
        <v/>
      </c>
      <c r="Q83" s="71">
        <f>P83+1</f>
        <v/>
      </c>
      <c r="R83" s="71">
        <f>Q83+1</f>
        <v/>
      </c>
    </row>
    <row r="84">
      <c r="C84" s="147" t="n"/>
      <c r="D84" s="147" t="inlineStr">
        <is>
          <t>بيع  الشقق</t>
        </is>
      </c>
      <c r="E84" s="148" t="n"/>
      <c r="F84" s="149" t="n"/>
      <c r="G84" s="149" t="n"/>
      <c r="H84" s="149" t="n"/>
      <c r="I84" s="149" t="n"/>
      <c r="J84" s="149" t="n"/>
      <c r="K84" s="149" t="n"/>
      <c r="L84" s="149" t="n"/>
      <c r="M84" s="149" t="n"/>
      <c r="N84" s="149" t="n"/>
      <c r="O84" s="149" t="n"/>
      <c r="P84" s="149" t="n"/>
      <c r="Q84" s="149" t="n"/>
      <c r="R84" s="149" t="n"/>
    </row>
    <row r="85">
      <c r="C85" s="38" t="n"/>
      <c r="D85" s="44" t="inlineStr">
        <is>
          <t>نسبة المساحة المباعة</t>
        </is>
      </c>
      <c r="E85" s="186">
        <f>SUM(G85:U85)</f>
        <v/>
      </c>
      <c r="F85" s="45" t="n"/>
      <c r="G85" s="46" t="n">
        <v>0.5</v>
      </c>
      <c r="H85" s="46" t="n">
        <v>0.5</v>
      </c>
      <c r="I85" s="46" t="n">
        <v>0</v>
      </c>
      <c r="J85" s="46" t="n">
        <v>0</v>
      </c>
      <c r="K85" s="46" t="n">
        <v>0</v>
      </c>
      <c r="L85" s="46" t="n">
        <v>0</v>
      </c>
      <c r="M85" s="46" t="n">
        <v>0</v>
      </c>
      <c r="N85" s="46" t="n">
        <v>0</v>
      </c>
      <c r="O85" s="46" t="n">
        <v>0</v>
      </c>
      <c r="P85" s="46" t="n">
        <v>0</v>
      </c>
      <c r="Q85" s="46" t="n">
        <v>0</v>
      </c>
      <c r="R85" s="46" t="n">
        <v>0</v>
      </c>
    </row>
    <row r="86">
      <c r="D86" s="47" t="inlineStr">
        <is>
          <t>المساحات المباعة</t>
        </is>
      </c>
      <c r="E86" s="187">
        <f>F21</f>
        <v/>
      </c>
      <c r="F86" s="49" t="n"/>
      <c r="G86" s="8">
        <f>G85*$E86</f>
        <v/>
      </c>
      <c r="H86" s="8">
        <f>H85*$E86</f>
        <v/>
      </c>
      <c r="I86" s="8">
        <f>I85*$E86</f>
        <v/>
      </c>
      <c r="J86" s="8">
        <f>J85*$E86</f>
        <v/>
      </c>
      <c r="K86" s="8">
        <f>K85*$E86</f>
        <v/>
      </c>
      <c r="L86" s="8">
        <f>L85*$E86</f>
        <v/>
      </c>
      <c r="M86" s="8">
        <f>M85*$E86</f>
        <v/>
      </c>
      <c r="N86" s="8">
        <f>N85*$E86</f>
        <v/>
      </c>
      <c r="O86" s="8">
        <f>O85*$E86</f>
        <v/>
      </c>
      <c r="P86" s="8">
        <f>P85*$E86</f>
        <v/>
      </c>
      <c r="Q86" s="8">
        <f>Q85*$E86</f>
        <v/>
      </c>
      <c r="R86" s="8">
        <f>R85*$E86</f>
        <v/>
      </c>
    </row>
    <row r="87">
      <c r="D87" s="47" t="inlineStr">
        <is>
          <t>متوسط سعر المتر</t>
        </is>
      </c>
      <c r="E87" s="48">
        <f>E90/E86</f>
        <v/>
      </c>
      <c r="F87" s="49" t="n"/>
      <c r="G87" s="2" t="n">
        <v>15000</v>
      </c>
      <c r="H87" s="2" t="n">
        <v>15000</v>
      </c>
      <c r="I87" s="2" t="n">
        <v>0</v>
      </c>
      <c r="J87" s="2" t="n">
        <v>0</v>
      </c>
      <c r="K87" s="2" t="n">
        <v>0</v>
      </c>
      <c r="L87" s="2" t="n">
        <v>0</v>
      </c>
      <c r="M87" s="2" t="n">
        <v>0</v>
      </c>
      <c r="N87" s="2" t="n">
        <v>0</v>
      </c>
      <c r="O87" s="2" t="n">
        <v>0</v>
      </c>
      <c r="P87" s="2" t="n">
        <v>0</v>
      </c>
      <c r="Q87" s="2" t="n">
        <v>0</v>
      </c>
      <c r="R87" s="2" t="n">
        <v>0</v>
      </c>
      <c r="AA87" s="8" t="n">
        <v>10</v>
      </c>
    </row>
    <row r="88">
      <c r="D88" s="47" t="inlineStr">
        <is>
          <t>عدد الوحدات</t>
        </is>
      </c>
      <c r="E88" s="48">
        <f>F23</f>
        <v/>
      </c>
      <c r="F88" s="49" t="n"/>
      <c r="G88" s="1">
        <f>G85*$E88</f>
        <v/>
      </c>
      <c r="H88" s="1">
        <f>H85*$E88</f>
        <v/>
      </c>
      <c r="I88" s="1">
        <f>I85*$E88</f>
        <v/>
      </c>
      <c r="J88" s="1">
        <f>J85*$E88</f>
        <v/>
      </c>
      <c r="K88" s="1">
        <f>K85*$E88</f>
        <v/>
      </c>
      <c r="L88" s="1">
        <f>L85*$E88</f>
        <v/>
      </c>
      <c r="M88" s="1">
        <f>M85*$E88</f>
        <v/>
      </c>
      <c r="N88" s="1">
        <f>N85*$E88</f>
        <v/>
      </c>
      <c r="O88" s="1">
        <f>O85*$E88</f>
        <v/>
      </c>
      <c r="P88" s="1">
        <f>P85*$E88</f>
        <v/>
      </c>
      <c r="Q88" s="1">
        <f>Q85*$E88</f>
        <v/>
      </c>
      <c r="R88" s="1">
        <f>R85*$E88</f>
        <v/>
      </c>
    </row>
    <row r="89">
      <c r="D89" s="47" t="inlineStr">
        <is>
          <t>متوسط سعر القطعة</t>
        </is>
      </c>
      <c r="E89" s="48">
        <f>E87*F22</f>
        <v/>
      </c>
      <c r="F89" s="49" t="n"/>
      <c r="G89" s="34">
        <f>G87*$F22</f>
        <v/>
      </c>
      <c r="H89" s="34">
        <f>H87*$F22</f>
        <v/>
      </c>
      <c r="I89" s="34">
        <f>I87*$E22</f>
        <v/>
      </c>
      <c r="J89" s="34">
        <f>J87*$E22</f>
        <v/>
      </c>
      <c r="K89" s="34">
        <f>K87*$E22</f>
        <v/>
      </c>
      <c r="L89" s="34">
        <f>L87*$E22</f>
        <v/>
      </c>
      <c r="M89" s="34">
        <f>M87*$E22</f>
        <v/>
      </c>
      <c r="N89" s="34">
        <f>N87*$E22</f>
        <v/>
      </c>
      <c r="O89" s="34">
        <f>O87*$E22</f>
        <v/>
      </c>
      <c r="P89" s="34">
        <f>P87*$E22</f>
        <v/>
      </c>
      <c r="Q89" s="34">
        <f>Q87*$E22</f>
        <v/>
      </c>
      <c r="R89" s="34">
        <f>R87*$E22</f>
        <v/>
      </c>
    </row>
    <row r="90">
      <c r="C90" s="18" t="n"/>
      <c r="D90" s="50" t="inlineStr">
        <is>
          <t>رصيد المبيعات</t>
        </is>
      </c>
      <c r="E90" s="51">
        <f>SUM(G90:R90)</f>
        <v/>
      </c>
      <c r="F90" s="52" t="n"/>
      <c r="G90" s="35">
        <f>G87*G86</f>
        <v/>
      </c>
      <c r="H90" s="35">
        <f>H87*H86</f>
        <v/>
      </c>
      <c r="I90" s="35">
        <f>I87*I86</f>
        <v/>
      </c>
      <c r="J90" s="35">
        <f>J87*J86</f>
        <v/>
      </c>
      <c r="K90" s="35">
        <f>K87*K86</f>
        <v/>
      </c>
      <c r="L90" s="35">
        <f>L87*L86</f>
        <v/>
      </c>
      <c r="M90" s="35">
        <f>M87*M86</f>
        <v/>
      </c>
      <c r="N90" s="35">
        <f>N87*N86</f>
        <v/>
      </c>
      <c r="O90" s="35">
        <f>O87*O86</f>
        <v/>
      </c>
      <c r="P90" s="35">
        <f>P87*P86</f>
        <v/>
      </c>
      <c r="Q90" s="35">
        <f>Q87*Q86</f>
        <v/>
      </c>
      <c r="R90" s="35">
        <f>R87*R86</f>
        <v/>
      </c>
    </row>
    <row r="91">
      <c r="C91" s="41" t="n"/>
      <c r="D91" s="41" t="n"/>
      <c r="E91" s="42" t="n"/>
      <c r="F91" s="43" t="n"/>
      <c r="G91" s="43" t="n"/>
      <c r="H91" s="43" t="n"/>
      <c r="I91" s="43" t="n"/>
      <c r="J91" s="43" t="n"/>
      <c r="K91" s="43" t="n"/>
      <c r="L91" s="43" t="n"/>
      <c r="M91" s="43" t="n"/>
      <c r="N91" s="43" t="n"/>
      <c r="O91" s="43" t="n"/>
      <c r="P91" s="43" t="n"/>
      <c r="Q91" s="43" t="n"/>
      <c r="R91" s="43" t="n"/>
    </row>
    <row r="92">
      <c r="C92" s="53" t="n"/>
      <c r="D92" s="53" t="inlineStr">
        <is>
          <t>نسبة التحصيل للبيع على الخارطة</t>
        </is>
      </c>
      <c r="E92" s="54">
        <f>IF(SUM(G92:R92)=1,1,0)</f>
        <v/>
      </c>
      <c r="F92" s="55" t="n"/>
      <c r="G92" s="56" t="n">
        <v>0.5</v>
      </c>
      <c r="H92" s="46" t="n">
        <v>0.5</v>
      </c>
      <c r="I92" s="46" t="n">
        <v>0</v>
      </c>
      <c r="J92" s="46" t="n">
        <v>0</v>
      </c>
      <c r="K92" s="46" t="n">
        <v>0</v>
      </c>
      <c r="L92" s="46" t="n">
        <v>0</v>
      </c>
      <c r="M92" s="46" t="n">
        <v>0</v>
      </c>
      <c r="N92" s="46" t="n">
        <v>0</v>
      </c>
      <c r="O92" s="46" t="n">
        <v>0</v>
      </c>
      <c r="P92" s="46" t="n">
        <v>0</v>
      </c>
      <c r="Q92" s="46" t="n">
        <v>0</v>
      </c>
      <c r="R92" s="46" t="n">
        <v>0</v>
      </c>
    </row>
    <row r="93">
      <c r="C93" s="41" t="n"/>
      <c r="D93" s="41" t="inlineStr">
        <is>
          <t>العام</t>
        </is>
      </c>
      <c r="E93" s="42" t="inlineStr">
        <is>
          <t>رصيد المبيعات</t>
        </is>
      </c>
      <c r="F93" s="43" t="n"/>
      <c r="G93" s="43" t="n"/>
      <c r="H93" s="43" t="n"/>
      <c r="I93" s="43" t="n"/>
      <c r="J93" s="43" t="n"/>
      <c r="K93" s="43" t="n"/>
      <c r="L93" s="43" t="n"/>
      <c r="M93" s="43" t="n"/>
      <c r="N93" s="43" t="n"/>
      <c r="O93" s="43" t="n"/>
      <c r="P93" s="43" t="n"/>
      <c r="Q93" s="43" t="n"/>
      <c r="R93" s="43" t="n"/>
    </row>
    <row r="94">
      <c r="C94" s="58" t="n"/>
      <c r="D94" s="58" t="n">
        <v>1</v>
      </c>
      <c r="E94" s="48">
        <f t="array" ref="E94:E105">TRANSPOSE(G90:R90)</f>
        <v/>
      </c>
      <c r="F94" s="28" t="n"/>
      <c r="G94" s="34">
        <f>G92*E94</f>
        <v/>
      </c>
      <c r="H94" s="34">
        <f>H92*E94</f>
        <v/>
      </c>
      <c r="I94" s="34">
        <f>I92*E94</f>
        <v/>
      </c>
      <c r="J94" s="34">
        <f>J92*E94</f>
        <v/>
      </c>
      <c r="K94" s="34">
        <f>K92*E94</f>
        <v/>
      </c>
      <c r="L94" s="34">
        <f>L92*E94</f>
        <v/>
      </c>
      <c r="M94" s="34">
        <f>M92*E94</f>
        <v/>
      </c>
      <c r="N94" s="34">
        <f>N92*$E94</f>
        <v/>
      </c>
      <c r="O94" s="34">
        <f>O92*$E94</f>
        <v/>
      </c>
      <c r="P94" s="34">
        <f>P92*$E94</f>
        <v/>
      </c>
      <c r="Q94" s="34">
        <f>Q92*$E94</f>
        <v/>
      </c>
      <c r="R94" s="34">
        <f>R92*$E94</f>
        <v/>
      </c>
    </row>
    <row r="95">
      <c r="C95" s="58" t="n"/>
      <c r="D95" s="58">
        <f>D94+1</f>
        <v/>
      </c>
      <c r="E95" s="48" t="n">
        <v>0</v>
      </c>
      <c r="F95" s="28" t="n"/>
      <c r="G95" s="28" t="n"/>
      <c r="H95" s="34">
        <f>SUM(G92:H92)*E95</f>
        <v/>
      </c>
      <c r="I95" s="34">
        <f>I92*E95</f>
        <v/>
      </c>
      <c r="J95" s="34">
        <f>J92*E95</f>
        <v/>
      </c>
      <c r="K95" s="34">
        <f>K92*E95</f>
        <v/>
      </c>
      <c r="L95" s="34">
        <f>L92*E95</f>
        <v/>
      </c>
      <c r="M95" s="34">
        <f>M92*E95</f>
        <v/>
      </c>
      <c r="N95" s="34">
        <f>N92*$E95</f>
        <v/>
      </c>
      <c r="O95" s="34">
        <f>O92*$E95</f>
        <v/>
      </c>
      <c r="P95" s="34">
        <f>P92*$E95</f>
        <v/>
      </c>
      <c r="Q95" s="34">
        <f>Q92*$E95</f>
        <v/>
      </c>
      <c r="R95" s="34">
        <f>R92*$E95</f>
        <v/>
      </c>
    </row>
    <row r="96">
      <c r="C96" s="58" t="n"/>
      <c r="D96" s="58">
        <f>D95+1</f>
        <v/>
      </c>
      <c r="E96" s="48" t="n">
        <v>0</v>
      </c>
      <c r="F96" s="28" t="n"/>
      <c r="G96" s="28" t="n"/>
      <c r="H96" s="28" t="n"/>
      <c r="I96" s="34">
        <f>SUM(G92:I92)*E96</f>
        <v/>
      </c>
      <c r="J96" s="34">
        <f>J92*$E96</f>
        <v/>
      </c>
      <c r="K96" s="34">
        <f>K92*$E96</f>
        <v/>
      </c>
      <c r="L96" s="34">
        <f>L92*$E96</f>
        <v/>
      </c>
      <c r="M96" s="34">
        <f>M92*$E96</f>
        <v/>
      </c>
      <c r="N96" s="34">
        <f>N92*$E96</f>
        <v/>
      </c>
      <c r="O96" s="34">
        <f>O92*$E96</f>
        <v/>
      </c>
      <c r="P96" s="34">
        <f>P92*$E96</f>
        <v/>
      </c>
      <c r="Q96" s="34">
        <f>Q92*$E96</f>
        <v/>
      </c>
      <c r="R96" s="34">
        <f>R92*$E96</f>
        <v/>
      </c>
    </row>
    <row r="97">
      <c r="C97" s="58" t="n"/>
      <c r="D97" s="58">
        <f>D96+1</f>
        <v/>
      </c>
      <c r="E97" s="48" t="n">
        <v>0</v>
      </c>
      <c r="F97" s="28" t="n"/>
      <c r="G97" s="28" t="n"/>
      <c r="H97" s="28" t="n"/>
      <c r="I97" s="28" t="n"/>
      <c r="J97" s="34">
        <f>SUM(G92:J92)*$E97</f>
        <v/>
      </c>
      <c r="K97" s="34">
        <f>K92*$E97</f>
        <v/>
      </c>
      <c r="L97" s="34">
        <f>L92*$E97</f>
        <v/>
      </c>
      <c r="M97" s="34">
        <f>M92*$E97</f>
        <v/>
      </c>
      <c r="N97" s="34">
        <f>N92*$E97</f>
        <v/>
      </c>
      <c r="O97" s="34">
        <f>O92*$E97</f>
        <v/>
      </c>
      <c r="P97" s="34">
        <f>P92*$E97</f>
        <v/>
      </c>
      <c r="Q97" s="34">
        <f>Q92*$E97</f>
        <v/>
      </c>
      <c r="R97" s="34">
        <f>R92*$E97</f>
        <v/>
      </c>
    </row>
    <row r="98">
      <c r="C98" s="58" t="n"/>
      <c r="D98" s="58">
        <f>D97+1</f>
        <v/>
      </c>
      <c r="E98" s="48" t="n">
        <v>0</v>
      </c>
      <c r="F98" s="28" t="n"/>
      <c r="G98" s="28" t="n"/>
      <c r="H98" s="28" t="n"/>
      <c r="I98" s="28" t="n"/>
      <c r="J98" s="28" t="n"/>
      <c r="K98" s="34">
        <f>SUM(G92:K92)*E98</f>
        <v/>
      </c>
      <c r="L98" s="34">
        <f>L92*E98</f>
        <v/>
      </c>
      <c r="M98" s="34" t="n">
        <v>0</v>
      </c>
      <c r="N98" s="34" t="n">
        <v>0</v>
      </c>
      <c r="O98" s="34" t="n">
        <v>0</v>
      </c>
      <c r="P98" s="34" t="n">
        <v>0</v>
      </c>
      <c r="Q98" s="34" t="n">
        <v>0</v>
      </c>
      <c r="R98" s="34" t="n">
        <v>0</v>
      </c>
    </row>
    <row r="99">
      <c r="C99" s="58" t="n"/>
      <c r="D99" s="58">
        <f>D98+1</f>
        <v/>
      </c>
      <c r="E99" s="48" t="n">
        <v>0</v>
      </c>
      <c r="F99" s="28" t="n"/>
      <c r="G99" s="28" t="n"/>
      <c r="H99" s="28" t="n"/>
      <c r="I99" s="28" t="n"/>
      <c r="J99" s="28" t="n"/>
      <c r="K99" s="28" t="n"/>
      <c r="L99" s="34">
        <f>SUM(G92:L92)*E99</f>
        <v/>
      </c>
      <c r="M99" s="34" t="n">
        <v>0</v>
      </c>
      <c r="N99" s="34" t="n">
        <v>0</v>
      </c>
      <c r="O99" s="34" t="n">
        <v>0</v>
      </c>
      <c r="P99" s="34" t="n">
        <v>0</v>
      </c>
      <c r="Q99" s="34" t="n">
        <v>0</v>
      </c>
      <c r="R99" s="34" t="n">
        <v>0</v>
      </c>
    </row>
    <row r="100">
      <c r="C100" s="58" t="n"/>
      <c r="D100" s="58">
        <f>D99+1</f>
        <v/>
      </c>
      <c r="E100" s="48" t="n">
        <v>0</v>
      </c>
      <c r="F100" s="28" t="n"/>
      <c r="G100" s="28" t="n"/>
      <c r="H100" s="28" t="n"/>
      <c r="I100" s="28" t="n"/>
      <c r="J100" s="28" t="n"/>
      <c r="K100" s="28" t="n"/>
      <c r="L100" s="28" t="n"/>
      <c r="M100" s="34">
        <f>SUM(G92:M92)*E100</f>
        <v/>
      </c>
      <c r="N100" s="34" t="n">
        <v>0</v>
      </c>
      <c r="O100" s="34" t="n">
        <v>0</v>
      </c>
      <c r="P100" s="34" t="n">
        <v>0</v>
      </c>
      <c r="Q100" s="34" t="n">
        <v>0</v>
      </c>
      <c r="R100" s="34" t="n">
        <v>0</v>
      </c>
    </row>
    <row r="101">
      <c r="C101" s="58" t="n"/>
      <c r="D101" s="58">
        <f>D100+1</f>
        <v/>
      </c>
      <c r="E101" s="48" t="n">
        <v>0</v>
      </c>
      <c r="F101" s="28" t="n"/>
      <c r="G101" s="28" t="n"/>
      <c r="H101" s="28" t="n"/>
      <c r="I101" s="28" t="n"/>
      <c r="J101" s="28" t="n"/>
      <c r="K101" s="28" t="n"/>
      <c r="L101" s="28" t="n"/>
      <c r="M101" s="28" t="n"/>
      <c r="N101" s="34">
        <f>SUM(G92:N92)*E101</f>
        <v/>
      </c>
      <c r="O101" s="34" t="n">
        <v>0</v>
      </c>
      <c r="P101" s="34" t="n">
        <v>0</v>
      </c>
      <c r="Q101" s="34" t="n">
        <v>0</v>
      </c>
      <c r="R101" s="34" t="n">
        <v>0</v>
      </c>
    </row>
    <row r="102">
      <c r="C102" s="58" t="n"/>
      <c r="D102" s="58">
        <f>D101+1</f>
        <v/>
      </c>
      <c r="E102" s="48" t="n">
        <v>0</v>
      </c>
      <c r="F102" s="28" t="n"/>
      <c r="G102" s="28" t="n"/>
      <c r="H102" s="28" t="n"/>
      <c r="I102" s="28" t="n"/>
      <c r="J102" s="28" t="n"/>
      <c r="K102" s="28" t="n"/>
      <c r="L102" s="28" t="n"/>
      <c r="M102" s="28" t="n"/>
      <c r="N102" s="28" t="n"/>
      <c r="O102" s="34">
        <f>SUM(G92:O92)*E102</f>
        <v/>
      </c>
      <c r="P102" s="34">
        <f>SUM(H92:P92)*F102</f>
        <v/>
      </c>
      <c r="Q102" s="34">
        <f>SUM(I92:Q92)*G102</f>
        <v/>
      </c>
      <c r="R102" s="34">
        <f>SUM(J92:R92)*H102</f>
        <v/>
      </c>
    </row>
    <row r="103">
      <c r="C103" s="58" t="n"/>
      <c r="D103" s="58">
        <f>D102+1</f>
        <v/>
      </c>
      <c r="E103" s="48" t="n">
        <v>0</v>
      </c>
      <c r="F103" s="28" t="n"/>
      <c r="G103" s="28" t="n"/>
      <c r="H103" s="28" t="n"/>
      <c r="I103" s="28" t="n"/>
      <c r="J103" s="28" t="n"/>
      <c r="K103" s="28" t="n"/>
      <c r="L103" s="28" t="n"/>
      <c r="M103" s="28" t="n"/>
      <c r="N103" s="28" t="n"/>
      <c r="O103" s="28" t="n"/>
      <c r="P103" s="34">
        <f>SUM(G92:P92)*E103</f>
        <v/>
      </c>
      <c r="Q103" s="34" t="n">
        <v>0</v>
      </c>
      <c r="R103" s="34" t="n">
        <v>0</v>
      </c>
    </row>
    <row r="104">
      <c r="C104" s="58" t="n"/>
      <c r="D104" s="58">
        <f>D103+1</f>
        <v/>
      </c>
      <c r="E104" s="48" t="n">
        <v>0</v>
      </c>
      <c r="F104" s="28" t="n"/>
      <c r="G104" s="28" t="n"/>
      <c r="H104" s="28" t="n"/>
      <c r="I104" s="28" t="n"/>
      <c r="J104" s="28" t="n"/>
      <c r="K104" s="28" t="n"/>
      <c r="L104" s="28" t="n"/>
      <c r="M104" s="28" t="n"/>
      <c r="N104" s="28" t="n"/>
      <c r="O104" s="28" t="n"/>
      <c r="P104" s="28" t="n"/>
      <c r="Q104" s="34">
        <f>SUM(G92:Q92)*E104</f>
        <v/>
      </c>
      <c r="R104" s="34" t="n">
        <v>0</v>
      </c>
    </row>
    <row r="105">
      <c r="C105" s="58" t="n"/>
      <c r="D105" s="58">
        <f>D104+1</f>
        <v/>
      </c>
      <c r="E105" s="48" t="n">
        <v>0</v>
      </c>
      <c r="F105" s="28" t="n"/>
      <c r="G105" s="28" t="n"/>
      <c r="H105" s="28" t="n"/>
      <c r="I105" s="28" t="n"/>
      <c r="J105" s="28" t="n"/>
      <c r="K105" s="28" t="n"/>
      <c r="L105" s="28" t="n"/>
      <c r="M105" s="28" t="n"/>
      <c r="N105" s="28" t="n"/>
      <c r="O105" s="28" t="n"/>
      <c r="P105" s="28" t="n"/>
      <c r="Q105" s="28" t="n"/>
      <c r="R105" s="34">
        <f>SUM(G92:R92)*E105</f>
        <v/>
      </c>
    </row>
    <row r="106">
      <c r="C106" s="183" t="n"/>
      <c r="D106" s="183" t="inlineStr">
        <is>
          <t>تحصيل مبيعات الشقق السكنية</t>
        </is>
      </c>
      <c r="E106" s="188">
        <f>SUM(_xlfn.ANCHORARRAY(E94))</f>
        <v/>
      </c>
      <c r="F106" s="184">
        <f>IF(ROUND(SUM(G106:R106),0)-ROUND(E106,0)=0,1,0)</f>
        <v/>
      </c>
      <c r="G106" s="184">
        <f>SUM(G94:G105)</f>
        <v/>
      </c>
      <c r="H106" s="184">
        <f>SUM(H94:H105)</f>
        <v/>
      </c>
      <c r="I106" s="184">
        <f>SUM(I94:I105)</f>
        <v/>
      </c>
      <c r="J106" s="184">
        <f>SUM(J94:J105)</f>
        <v/>
      </c>
      <c r="K106" s="184">
        <f>SUM(K94:K105)</f>
        <v/>
      </c>
      <c r="L106" s="184">
        <f>SUM(L94:L105)</f>
        <v/>
      </c>
      <c r="M106" s="184">
        <f>SUM(M94:M105)</f>
        <v/>
      </c>
      <c r="N106" s="184">
        <f>SUM(N94:N105)</f>
        <v/>
      </c>
      <c r="O106" s="184">
        <f>SUM(O94:O105)</f>
        <v/>
      </c>
      <c r="P106" s="184">
        <f>SUM(P94:P105)</f>
        <v/>
      </c>
      <c r="Q106" s="184">
        <f>SUM(Q94:Q105)</f>
        <v/>
      </c>
      <c r="R106" s="184">
        <f>SUM(R94:R105)</f>
        <v/>
      </c>
    </row>
    <row r="107">
      <c r="G107" s="117" t="n"/>
      <c r="H107" s="117" t="n"/>
      <c r="I107" s="117" t="n"/>
      <c r="J107" s="117" t="n"/>
    </row>
    <row r="108">
      <c r="A108" s="9" t="inlineStr">
        <is>
          <t>إيرادات التجاري والمكتبي</t>
        </is>
      </c>
      <c r="B108" s="9" t="n"/>
      <c r="C108" s="9" t="n"/>
      <c r="D108" s="10" t="n"/>
      <c r="E108" s="11" t="n"/>
      <c r="F108" s="11" t="n"/>
      <c r="G108" s="11" t="n"/>
      <c r="H108" s="11" t="n"/>
      <c r="I108" s="11" t="n"/>
      <c r="J108" s="11" t="n"/>
      <c r="K108" s="11" t="n"/>
      <c r="L108" s="11" t="n"/>
      <c r="M108" s="11" t="n"/>
      <c r="N108" s="11" t="n"/>
      <c r="O108" s="11" t="n"/>
      <c r="P108" s="11" t="n"/>
      <c r="Q108" s="11" t="n"/>
      <c r="R108" s="11" t="n"/>
      <c r="S108" s="11" t="n"/>
      <c r="T108" s="11" t="n"/>
      <c r="U108" s="11" t="n"/>
      <c r="V108" s="11" t="n"/>
      <c r="W108" s="11" t="n"/>
      <c r="X108" s="11" t="n"/>
      <c r="Y108" s="11" t="n"/>
      <c r="Z108" s="11" t="n"/>
      <c r="AA108" s="11" t="inlineStr"/>
    </row>
    <row r="109">
      <c r="D109" s="12" t="inlineStr">
        <is>
          <t>معدل نمو الأسعار</t>
        </is>
      </c>
      <c r="E109" s="118" t="n">
        <v>0.015</v>
      </c>
      <c r="N109" s="16" t="n"/>
    </row>
    <row r="110" hidden="1" s="241">
      <c r="C110" s="36" t="inlineStr">
        <is>
          <t>السنة</t>
        </is>
      </c>
      <c r="D110" s="37" t="n"/>
      <c r="E110" s="119" t="inlineStr">
        <is>
          <t>مساعد</t>
        </is>
      </c>
      <c r="F110" s="37" t="n">
        <v>0</v>
      </c>
      <c r="G110" s="37">
        <f>F110+1</f>
        <v/>
      </c>
      <c r="H110" s="37">
        <f>G110+1</f>
        <v/>
      </c>
      <c r="I110" s="37">
        <f>H110+1</f>
        <v/>
      </c>
      <c r="J110" s="37">
        <f>I110+1</f>
        <v/>
      </c>
      <c r="K110" s="37">
        <f>J110+1</f>
        <v/>
      </c>
      <c r="L110" s="37">
        <f>K110+1</f>
        <v/>
      </c>
      <c r="M110" s="37">
        <f>L110+1</f>
        <v/>
      </c>
      <c r="N110" s="37">
        <f>M110+1</f>
        <v/>
      </c>
      <c r="O110" s="37">
        <f>N110+1</f>
        <v/>
      </c>
      <c r="P110" s="37">
        <f>O110+1</f>
        <v/>
      </c>
      <c r="Q110" s="37">
        <f>P110+1</f>
        <v/>
      </c>
      <c r="R110" s="37">
        <f>Q110+1</f>
        <v/>
      </c>
    </row>
    <row r="111" hidden="1" customFormat="1" s="13">
      <c r="A111" s="12" t="n"/>
      <c r="B111" s="12" t="n"/>
      <c r="C111" s="59" t="inlineStr">
        <is>
          <t>المكتبي</t>
        </is>
      </c>
      <c r="D111" s="60" t="n"/>
      <c r="E111" s="120" t="n"/>
      <c r="F111" s="60">
        <f>F$110</f>
        <v/>
      </c>
      <c r="G111" s="60">
        <f>G$110</f>
        <v/>
      </c>
      <c r="H111" s="60">
        <f>H$110</f>
        <v/>
      </c>
      <c r="I111" s="60">
        <f>I$110</f>
        <v/>
      </c>
      <c r="J111" s="60">
        <f>J$110</f>
        <v/>
      </c>
      <c r="K111" s="60">
        <f>K$110</f>
        <v/>
      </c>
      <c r="L111" s="60">
        <f>L$110</f>
        <v/>
      </c>
      <c r="M111" s="60">
        <f>M$110</f>
        <v/>
      </c>
      <c r="N111" s="60">
        <f>N$110</f>
        <v/>
      </c>
      <c r="O111" s="60">
        <f>O$110</f>
        <v/>
      </c>
      <c r="P111" s="60">
        <f>P$110</f>
        <v/>
      </c>
      <c r="Q111" s="60">
        <f>Q$110</f>
        <v/>
      </c>
      <c r="R111" s="60">
        <f>R$110</f>
        <v/>
      </c>
    </row>
    <row r="112" hidden="1" customFormat="1" s="13">
      <c r="A112" s="12" t="n"/>
      <c r="B112" s="12" t="n"/>
      <c r="C112" s="12" t="n"/>
      <c r="D112" s="13" t="inlineStr">
        <is>
          <t>متوسط ايجار المتر</t>
        </is>
      </c>
      <c r="E112" s="126" t="n">
        <v>0</v>
      </c>
      <c r="F112" s="16" t="n">
        <v>0</v>
      </c>
      <c r="G112" s="16" t="n">
        <v>0</v>
      </c>
      <c r="H112" s="16" t="n">
        <v>0</v>
      </c>
      <c r="I112" s="34" t="n">
        <v>0</v>
      </c>
      <c r="J112" s="34">
        <f>E112</f>
        <v/>
      </c>
      <c r="K112" s="34">
        <f>J112*(1+$E$109)</f>
        <v/>
      </c>
      <c r="L112" s="34">
        <f>K112*(1+$E$109)</f>
        <v/>
      </c>
      <c r="M112" s="34">
        <f>L112*(1+$E$109)</f>
        <v/>
      </c>
      <c r="N112" s="34">
        <f>M112*(1+$E$109)</f>
        <v/>
      </c>
      <c r="O112" s="34">
        <f>N112*(1+$E$109)</f>
        <v/>
      </c>
      <c r="P112" s="34">
        <f>O112*(1+$E$109)</f>
        <v/>
      </c>
      <c r="Q112" s="34">
        <f>P112*(1+$E$109)</f>
        <v/>
      </c>
      <c r="R112" s="34">
        <f>Q112*(1+$E$109)</f>
        <v/>
      </c>
    </row>
    <row r="113" hidden="1" customFormat="1" s="13">
      <c r="A113" s="12" t="n"/>
      <c r="B113" s="12" t="n"/>
      <c r="C113" s="12" t="n"/>
      <c r="D113" s="13" t="inlineStr">
        <is>
          <t>نسبة الاشغال</t>
        </is>
      </c>
      <c r="E113" s="121">
        <f>F21</f>
        <v/>
      </c>
      <c r="F113" s="20" t="n">
        <v>0</v>
      </c>
      <c r="G113" s="20" t="n">
        <v>0</v>
      </c>
      <c r="H113" s="20" t="n">
        <v>0</v>
      </c>
      <c r="I113" s="20" t="n">
        <v>0</v>
      </c>
      <c r="J113" s="66" t="n">
        <v>0.85</v>
      </c>
      <c r="K113" s="66" t="n">
        <v>0.95</v>
      </c>
      <c r="L113" s="66" t="n">
        <v>0.95</v>
      </c>
      <c r="M113" s="66" t="n">
        <v>0.95</v>
      </c>
      <c r="N113" s="66" t="n">
        <v>0.95</v>
      </c>
      <c r="O113" s="66" t="n">
        <v>0.95</v>
      </c>
      <c r="P113" s="66" t="n">
        <v>0.95</v>
      </c>
      <c r="Q113" s="66" t="n">
        <v>0.95</v>
      </c>
      <c r="R113" s="66" t="n">
        <v>0.95</v>
      </c>
    </row>
    <row r="114" hidden="1" customFormat="1" s="13">
      <c r="A114" s="12" t="n"/>
      <c r="B114" s="12" t="n"/>
      <c r="C114" s="12" t="n"/>
      <c r="D114" s="13" t="inlineStr">
        <is>
          <t>الدخل الفعال</t>
        </is>
      </c>
      <c r="E114" s="121" t="n"/>
      <c r="F114" s="8">
        <f>F112*F113*$E113</f>
        <v/>
      </c>
      <c r="G114" s="8">
        <f>G112*G113*$E113</f>
        <v/>
      </c>
      <c r="H114" s="8">
        <f>H112*H113*$E113</f>
        <v/>
      </c>
      <c r="I114" s="8">
        <f>I112*I113*$E113</f>
        <v/>
      </c>
      <c r="J114" s="8">
        <f>J112*J113*$E113</f>
        <v/>
      </c>
      <c r="K114" s="8">
        <f>K112*K113*$E113</f>
        <v/>
      </c>
      <c r="L114" s="8">
        <f>L112*L113*$E113</f>
        <v/>
      </c>
      <c r="M114" s="8">
        <f>M112*M113*$E113</f>
        <v/>
      </c>
      <c r="N114" s="8">
        <f>N112*N113*$E113</f>
        <v/>
      </c>
      <c r="O114" s="8">
        <f>O112*O113*$E113</f>
        <v/>
      </c>
      <c r="P114" s="8">
        <f>P112*P113*$E113</f>
        <v/>
      </c>
      <c r="Q114" s="8">
        <f>Q112*Q113*$E113</f>
        <v/>
      </c>
      <c r="R114" s="8">
        <f>R112*R113*$E113</f>
        <v/>
      </c>
    </row>
    <row r="115" hidden="1" customFormat="1" s="13">
      <c r="A115" s="12" t="n"/>
      <c r="B115" s="12" t="n"/>
      <c r="C115" s="12" t="n"/>
      <c r="D115" s="13" t="inlineStr">
        <is>
          <t>رسوم التشغيل</t>
        </is>
      </c>
      <c r="E115" s="122" t="n">
        <v>0</v>
      </c>
      <c r="F115" s="8">
        <f>F114*$E115</f>
        <v/>
      </c>
      <c r="G115" s="8">
        <f>G114*$E115</f>
        <v/>
      </c>
      <c r="H115" s="8">
        <f>H114*$E115</f>
        <v/>
      </c>
      <c r="I115" s="8">
        <f>I114*$E115</f>
        <v/>
      </c>
      <c r="J115" s="8">
        <f>J114*$E115</f>
        <v/>
      </c>
      <c r="K115" s="8">
        <f>K114*$E115</f>
        <v/>
      </c>
      <c r="L115" s="8">
        <f>L114*$E115</f>
        <v/>
      </c>
      <c r="M115" s="8">
        <f>M114*$E115</f>
        <v/>
      </c>
      <c r="N115" s="8">
        <f>N114*$E115</f>
        <v/>
      </c>
      <c r="O115" s="8">
        <f>O114*$E115</f>
        <v/>
      </c>
      <c r="P115" s="8">
        <f>P114*$E115</f>
        <v/>
      </c>
      <c r="Q115" s="8">
        <f>Q114*$E115</f>
        <v/>
      </c>
      <c r="R115" s="8">
        <f>R114*$E115</f>
        <v/>
      </c>
    </row>
    <row r="116" hidden="1" customFormat="1" s="13">
      <c r="A116" s="12" t="n"/>
      <c r="B116" s="12" t="n"/>
      <c r="C116" s="12" t="n"/>
      <c r="D116" s="13" t="inlineStr">
        <is>
          <t>مجمل الدخل</t>
        </is>
      </c>
      <c r="E116" s="121" t="n"/>
      <c r="F116" s="8">
        <f>SUM(F114:F115)</f>
        <v/>
      </c>
      <c r="G116" s="8">
        <f>SUM(G114:G115)</f>
        <v/>
      </c>
      <c r="H116" s="8">
        <f>SUM(H114:H115)</f>
        <v/>
      </c>
      <c r="I116" s="8">
        <f>SUM(I114:I115)</f>
        <v/>
      </c>
      <c r="J116" s="8">
        <f>SUM(J114:J115)</f>
        <v/>
      </c>
      <c r="K116" s="8">
        <f>SUM(K114:K115)</f>
        <v/>
      </c>
      <c r="L116" s="8">
        <f>SUM(L114:L115)</f>
        <v/>
      </c>
      <c r="M116" s="8">
        <f>SUM(M114:M115)</f>
        <v/>
      </c>
      <c r="N116" s="8">
        <f>SUM(N114:N115)</f>
        <v/>
      </c>
      <c r="O116" s="8">
        <f>SUM(O114:O115)</f>
        <v/>
      </c>
      <c r="P116" s="8">
        <f>SUM(P114:P115)</f>
        <v/>
      </c>
      <c r="Q116" s="8">
        <f>SUM(Q114:Q115)</f>
        <v/>
      </c>
      <c r="R116" s="8">
        <f>SUM(R114:R115)</f>
        <v/>
      </c>
    </row>
    <row r="117" hidden="1" customFormat="1" s="13">
      <c r="A117" s="12" t="n"/>
      <c r="B117" s="12" t="n"/>
      <c r="C117" s="12" t="n"/>
      <c r="D117" s="13" t="inlineStr">
        <is>
          <t>مصروفات الصيانة و التشغيل</t>
        </is>
      </c>
      <c r="E117" s="122" t="n">
        <v>0</v>
      </c>
      <c r="F117" s="8">
        <f>-$E117*F116</f>
        <v/>
      </c>
      <c r="G117" s="8">
        <f>-$E117*G116</f>
        <v/>
      </c>
      <c r="H117" s="8">
        <f>-$E117*H116</f>
        <v/>
      </c>
      <c r="I117" s="8">
        <f>-$E117*I116</f>
        <v/>
      </c>
      <c r="J117" s="8">
        <f>-$E117*J116</f>
        <v/>
      </c>
      <c r="K117" s="8">
        <f>-$E117*K116</f>
        <v/>
      </c>
      <c r="L117" s="8">
        <f>-$E117*L116</f>
        <v/>
      </c>
      <c r="M117" s="8">
        <f>-$E117*M116</f>
        <v/>
      </c>
      <c r="N117" s="8">
        <f>-$E117*N116</f>
        <v/>
      </c>
      <c r="O117" s="8">
        <f>-$E117*O116</f>
        <v/>
      </c>
      <c r="P117" s="8">
        <f>-$E117*P116</f>
        <v/>
      </c>
      <c r="Q117" s="8">
        <f>-$E117*Q116</f>
        <v/>
      </c>
      <c r="R117" s="8">
        <f>-$E117*R116</f>
        <v/>
      </c>
    </row>
    <row r="118" hidden="1" customFormat="1" s="13">
      <c r="A118" s="12" t="n"/>
      <c r="B118" s="12" t="n"/>
      <c r="C118" s="18" t="n"/>
      <c r="D118" s="18" t="inlineStr">
        <is>
          <t>صافي الدخل</t>
        </is>
      </c>
      <c r="E118" s="124" t="n"/>
      <c r="F118" s="19">
        <f>SUM(F116:F117)</f>
        <v/>
      </c>
      <c r="G118" s="19">
        <f>SUM(G116:G117)</f>
        <v/>
      </c>
      <c r="H118" s="19">
        <f>SUM(H116:H117)</f>
        <v/>
      </c>
      <c r="I118" s="19">
        <f>SUM(I116:I117)</f>
        <v/>
      </c>
      <c r="J118" s="19">
        <f>SUM(J116:J117)</f>
        <v/>
      </c>
      <c r="K118" s="19">
        <f>SUM(K116:K117)</f>
        <v/>
      </c>
      <c r="L118" s="19">
        <f>SUM(L116:L117)</f>
        <v/>
      </c>
      <c r="M118" s="19">
        <f>SUM(M116:M117)</f>
        <v/>
      </c>
      <c r="N118" s="19">
        <f>SUM(N116:N117)</f>
        <v/>
      </c>
      <c r="O118" s="19">
        <f>SUM(O116:O117)</f>
        <v/>
      </c>
      <c r="P118" s="19">
        <f>SUM(P116:P117)</f>
        <v/>
      </c>
      <c r="Q118" s="19">
        <f>SUM(Q116:Q117)</f>
        <v/>
      </c>
      <c r="R118" s="19">
        <f>SUM(R116:R117)</f>
        <v/>
      </c>
    </row>
    <row r="119" customFormat="1" s="13">
      <c r="A119" s="12" t="n"/>
      <c r="B119" s="12" t="n"/>
      <c r="C119" s="59" t="inlineStr">
        <is>
          <t>مكتبي</t>
        </is>
      </c>
      <c r="D119" s="60" t="n"/>
      <c r="E119" s="120" t="n"/>
      <c r="F119" s="60">
        <f>F$110</f>
        <v/>
      </c>
      <c r="G119" s="60">
        <f>G$110</f>
        <v/>
      </c>
      <c r="H119" s="60">
        <f>H$110</f>
        <v/>
      </c>
      <c r="I119" s="60">
        <f>I$110</f>
        <v/>
      </c>
      <c r="J119" s="60">
        <f>J$110</f>
        <v/>
      </c>
      <c r="K119" s="60">
        <f>K$110</f>
        <v/>
      </c>
      <c r="L119" s="60">
        <f>L$110</f>
        <v/>
      </c>
      <c r="M119" s="60">
        <f>M$110</f>
        <v/>
      </c>
      <c r="N119" s="60">
        <f>N$110</f>
        <v/>
      </c>
      <c r="O119" s="60">
        <f>O$110</f>
        <v/>
      </c>
      <c r="P119" s="60">
        <f>P$110</f>
        <v/>
      </c>
      <c r="Q119" s="60">
        <f>Q$110</f>
        <v/>
      </c>
      <c r="R119" s="60">
        <f>R$110</f>
        <v/>
      </c>
    </row>
    <row r="120" customFormat="1" s="13">
      <c r="A120" s="12" t="n"/>
      <c r="B120" s="12" t="n"/>
      <c r="C120" s="12" t="n"/>
      <c r="D120" s="13" t="inlineStr">
        <is>
          <t>متوسط ايجار المتر</t>
        </is>
      </c>
      <c r="E120" s="126" t="n">
        <v>2000</v>
      </c>
      <c r="F120" s="16" t="n">
        <v>0</v>
      </c>
      <c r="G120" s="16" t="n">
        <v>0</v>
      </c>
      <c r="H120" s="16" t="n">
        <v>0</v>
      </c>
      <c r="I120" s="34" t="n">
        <v>2000</v>
      </c>
      <c r="J120" s="34" t="n">
        <v>2000</v>
      </c>
      <c r="K120" s="34" t="n">
        <v>2000</v>
      </c>
      <c r="L120" s="34" t="n">
        <v>2000</v>
      </c>
      <c r="M120" s="34" t="n">
        <v>2000</v>
      </c>
      <c r="N120" s="34" t="n">
        <v>2000</v>
      </c>
      <c r="O120" s="34" t="n">
        <v>2000</v>
      </c>
      <c r="P120" s="34" t="n">
        <v>2000</v>
      </c>
      <c r="Q120" s="34" t="n">
        <v>2000</v>
      </c>
      <c r="R120" s="34" t="n">
        <v>2000</v>
      </c>
    </row>
    <row r="121" customFormat="1" s="13">
      <c r="A121" s="12" t="n"/>
      <c r="B121" s="12" t="n"/>
      <c r="C121" s="12" t="n"/>
      <c r="D121" s="13" t="inlineStr">
        <is>
          <t>نسبة الاشغال</t>
        </is>
      </c>
      <c r="E121" s="121">
        <f>G21</f>
        <v/>
      </c>
      <c r="F121" s="20" t="n">
        <v>0</v>
      </c>
      <c r="G121" s="20" t="n">
        <v>0</v>
      </c>
      <c r="H121" s="20" t="n">
        <v>0</v>
      </c>
      <c r="I121" s="66" t="n">
        <v>1</v>
      </c>
      <c r="J121" s="66" t="n">
        <v>1</v>
      </c>
      <c r="K121" s="66" t="n">
        <v>1</v>
      </c>
      <c r="L121" s="66" t="n">
        <v>1</v>
      </c>
      <c r="M121" s="66" t="n">
        <v>1</v>
      </c>
      <c r="N121" s="66" t="n">
        <v>1</v>
      </c>
      <c r="O121" s="66" t="n">
        <v>1</v>
      </c>
      <c r="P121" s="66" t="n">
        <v>1</v>
      </c>
      <c r="Q121" s="66" t="n">
        <v>1</v>
      </c>
      <c r="R121" s="66" t="n">
        <v>1</v>
      </c>
    </row>
    <row r="122" customFormat="1" s="13">
      <c r="A122" s="12" t="n"/>
      <c r="B122" s="12" t="n"/>
      <c r="C122" s="12" t="n"/>
      <c r="D122" s="13" t="inlineStr">
        <is>
          <t>الدخل الفعال</t>
        </is>
      </c>
      <c r="E122" s="121" t="n"/>
      <c r="F122" s="8">
        <f>F120*F121*$E121</f>
        <v/>
      </c>
      <c r="G122" s="8">
        <f>G120*G121*$E121</f>
        <v/>
      </c>
      <c r="H122" s="8">
        <f>H120*H121*$E121</f>
        <v/>
      </c>
      <c r="I122" s="8">
        <f>I120*I121*$E121</f>
        <v/>
      </c>
      <c r="J122" s="8">
        <f>J120*J121*$E121</f>
        <v/>
      </c>
      <c r="K122" s="8">
        <f>K120*K121*$E121</f>
        <v/>
      </c>
      <c r="L122" s="8">
        <f>L120*L121*$E121</f>
        <v/>
      </c>
      <c r="M122" s="8">
        <f>M120*M121*$E121</f>
        <v/>
      </c>
      <c r="N122" s="8">
        <f>N120*N121*$E121</f>
        <v/>
      </c>
      <c r="O122" s="8">
        <f>O120*O121*$E121</f>
        <v/>
      </c>
      <c r="P122" s="8">
        <f>P120*P121*$E121</f>
        <v/>
      </c>
      <c r="Q122" s="8">
        <f>Q120*Q121*$E121</f>
        <v/>
      </c>
      <c r="R122" s="8">
        <f>R120*R121*$E121</f>
        <v/>
      </c>
    </row>
    <row r="123" customFormat="1" s="13">
      <c r="A123" s="12" t="n"/>
      <c r="B123" s="12" t="n"/>
      <c r="C123" s="12" t="n"/>
      <c r="D123" s="13" t="inlineStr">
        <is>
          <t>رسوم التشغيل</t>
        </is>
      </c>
      <c r="E123" s="122" t="n">
        <v>0</v>
      </c>
      <c r="F123" s="8">
        <f>F122*$E123</f>
        <v/>
      </c>
      <c r="G123" s="8">
        <f>G122*$E123</f>
        <v/>
      </c>
      <c r="H123" s="8">
        <f>H122*$E123</f>
        <v/>
      </c>
      <c r="I123" s="8">
        <f>I122*$E123</f>
        <v/>
      </c>
      <c r="J123" s="8">
        <f>J122*$E123</f>
        <v/>
      </c>
      <c r="K123" s="8">
        <f>K122*$E123</f>
        <v/>
      </c>
      <c r="L123" s="8">
        <f>L122*$E123</f>
        <v/>
      </c>
      <c r="M123" s="8">
        <f>M122*$E123</f>
        <v/>
      </c>
      <c r="N123" s="8">
        <f>N122*$E123</f>
        <v/>
      </c>
      <c r="O123" s="8">
        <f>O122*$E123</f>
        <v/>
      </c>
      <c r="P123" s="8">
        <f>P122*$E123</f>
        <v/>
      </c>
      <c r="Q123" s="8">
        <f>Q122*$E123</f>
        <v/>
      </c>
      <c r="R123" s="8">
        <f>R122*$E123</f>
        <v/>
      </c>
    </row>
    <row r="124" customFormat="1" s="13">
      <c r="A124" s="12" t="n"/>
      <c r="B124" s="12" t="n"/>
      <c r="C124" s="12" t="n"/>
      <c r="D124" s="13" t="inlineStr">
        <is>
          <t>مجمل الدخل</t>
        </is>
      </c>
      <c r="E124" s="121" t="n"/>
      <c r="F124" s="8">
        <f>SUM(F122:F123)</f>
        <v/>
      </c>
      <c r="G124" s="8">
        <f>SUM(G122:G123)</f>
        <v/>
      </c>
      <c r="H124" s="8">
        <f>SUM(H122:H123)</f>
        <v/>
      </c>
      <c r="I124" s="8">
        <f>SUM(I122:I123)</f>
        <v/>
      </c>
      <c r="J124" s="8">
        <f>SUM(J122:J123)</f>
        <v/>
      </c>
      <c r="K124" s="8">
        <f>SUM(K122:K123)</f>
        <v/>
      </c>
      <c r="L124" s="8">
        <f>SUM(L122:L123)</f>
        <v/>
      </c>
      <c r="M124" s="8">
        <f>SUM(M122:M123)</f>
        <v/>
      </c>
      <c r="N124" s="8">
        <f>SUM(N122:N123)</f>
        <v/>
      </c>
      <c r="O124" s="8">
        <f>SUM(O122:O123)</f>
        <v/>
      </c>
      <c r="P124" s="8">
        <f>SUM(P122:P123)</f>
        <v/>
      </c>
      <c r="Q124" s="8">
        <f>SUM(Q122:Q123)</f>
        <v/>
      </c>
      <c r="R124" s="8">
        <f>SUM(R122:R123)</f>
        <v/>
      </c>
    </row>
    <row r="125" customFormat="1" s="13">
      <c r="A125" s="12" t="n"/>
      <c r="B125" s="12" t="n"/>
      <c r="C125" s="12" t="n"/>
      <c r="D125" s="13" t="inlineStr">
        <is>
          <t>مصروفات الصيانة و التشغيل</t>
        </is>
      </c>
      <c r="E125" s="122" t="n">
        <v>0.05</v>
      </c>
      <c r="F125" s="8">
        <f>-$E125*F124</f>
        <v/>
      </c>
      <c r="G125" s="8">
        <f>-$E125*G124</f>
        <v/>
      </c>
      <c r="H125" s="8">
        <f>-$E125*H124</f>
        <v/>
      </c>
      <c r="I125" s="8">
        <f>-$E125*I124</f>
        <v/>
      </c>
      <c r="J125" s="8">
        <f>-$E125*J124</f>
        <v/>
      </c>
      <c r="K125" s="8">
        <f>-$E125*K124</f>
        <v/>
      </c>
      <c r="L125" s="8">
        <f>-$E125*L124</f>
        <v/>
      </c>
      <c r="M125" s="8">
        <f>-$E125*M124</f>
        <v/>
      </c>
      <c r="N125" s="8">
        <f>-$E125*N124</f>
        <v/>
      </c>
      <c r="O125" s="8">
        <f>-$E125*O124</f>
        <v/>
      </c>
      <c r="P125" s="8">
        <f>-$E125*P124</f>
        <v/>
      </c>
      <c r="Q125" s="8">
        <f>-$E125*Q124</f>
        <v/>
      </c>
      <c r="R125" s="8">
        <f>-$E125*R124</f>
        <v/>
      </c>
    </row>
    <row r="126" customFormat="1" s="13">
      <c r="A126" s="12" t="n"/>
      <c r="B126" s="12" t="n"/>
      <c r="C126" s="18" t="n"/>
      <c r="D126" s="18" t="inlineStr">
        <is>
          <t>صافي الدخل</t>
        </is>
      </c>
      <c r="E126" s="124" t="n"/>
      <c r="F126" s="19">
        <f>SUM(F124:F125)</f>
        <v/>
      </c>
      <c r="G126" s="19">
        <f>SUM(G124:G125)</f>
        <v/>
      </c>
      <c r="H126" s="19">
        <f>SUM(H124:H125)</f>
        <v/>
      </c>
      <c r="I126" s="19">
        <f>SUM(I124:I125)</f>
        <v/>
      </c>
      <c r="J126" s="19">
        <f>SUM(J124:J125)</f>
        <v/>
      </c>
      <c r="K126" s="19">
        <f>SUM(K124:K125)</f>
        <v/>
      </c>
      <c r="L126" s="19">
        <f>SUM(L124:L125)</f>
        <v/>
      </c>
      <c r="M126" s="19">
        <f>SUM(M124:M125)</f>
        <v/>
      </c>
      <c r="N126" s="19">
        <f>SUM(N124:N125)</f>
        <v/>
      </c>
      <c r="O126" s="19">
        <f>SUM(O124:O125)</f>
        <v/>
      </c>
      <c r="P126" s="19">
        <f>SUM(P124:P125)</f>
        <v/>
      </c>
      <c r="Q126" s="19">
        <f>SUM(Q124:Q125)</f>
        <v/>
      </c>
      <c r="R126" s="19">
        <f>SUM(R124:R125)</f>
        <v/>
      </c>
    </row>
    <row r="127" hidden="1" customFormat="1" s="13">
      <c r="A127" s="12" t="n"/>
      <c r="B127" s="12" t="n"/>
      <c r="C127" s="59" t="inlineStr">
        <is>
          <t>الفندقي</t>
        </is>
      </c>
      <c r="D127" s="60" t="n"/>
      <c r="E127" s="120" t="n"/>
      <c r="F127" s="60" t="n"/>
      <c r="G127" s="60" t="n"/>
      <c r="H127" s="60" t="n"/>
      <c r="I127" s="60" t="n"/>
      <c r="J127" s="60" t="n"/>
      <c r="K127" s="60" t="n"/>
      <c r="L127" s="60" t="n"/>
      <c r="M127" s="60" t="n"/>
      <c r="N127" s="60" t="n"/>
      <c r="O127" s="60" t="n"/>
      <c r="P127" s="60" t="n"/>
      <c r="Q127" s="60" t="n"/>
      <c r="R127" s="60" t="n"/>
    </row>
    <row r="128" hidden="1" customFormat="1" s="13">
      <c r="A128" s="12" t="n"/>
      <c r="B128" s="12" t="n"/>
      <c r="C128" s="199" t="n"/>
      <c r="D128" s="200" t="inlineStr">
        <is>
          <t>متوسط سعر الليلة</t>
        </is>
      </c>
      <c r="E128" s="201" t="n">
        <v>650</v>
      </c>
      <c r="F128" s="16" t="n">
        <v>0</v>
      </c>
      <c r="G128" s="16" t="n">
        <v>0</v>
      </c>
      <c r="H128" s="16" t="n">
        <v>0</v>
      </c>
      <c r="I128" s="34" t="n">
        <v>0</v>
      </c>
      <c r="J128" s="34">
        <f>E128</f>
        <v/>
      </c>
      <c r="K128" s="34">
        <f>J128*(1+$E$109)</f>
        <v/>
      </c>
      <c r="L128" s="1">
        <f>K128*(1+$E$109)</f>
        <v/>
      </c>
      <c r="M128" s="1">
        <f>L128*(1+$E$109)</f>
        <v/>
      </c>
      <c r="N128" s="1">
        <f>M128*(1+$E$109)</f>
        <v/>
      </c>
      <c r="O128" s="1">
        <f>N128*(1+$E$109)</f>
        <v/>
      </c>
      <c r="P128" s="1">
        <f>O128*(1+$E$109)</f>
        <v/>
      </c>
      <c r="Q128" s="1">
        <f>P128*(1+$E$109)</f>
        <v/>
      </c>
      <c r="R128" s="1">
        <f>Q128*(1+$E$109)</f>
        <v/>
      </c>
    </row>
    <row r="129" hidden="1" customFormat="1" s="13">
      <c r="A129" s="12" t="n"/>
      <c r="B129" s="12" t="n"/>
      <c r="C129" s="199" t="n"/>
      <c r="D129" s="200" t="inlineStr">
        <is>
          <t>نسبة الاشغال</t>
        </is>
      </c>
      <c r="E129" s="202" t="n">
        <v>365</v>
      </c>
      <c r="F129" s="66" t="n">
        <v>0</v>
      </c>
      <c r="G129" s="66" t="n">
        <v>0</v>
      </c>
      <c r="H129" s="66" t="n">
        <v>0</v>
      </c>
      <c r="I129" s="66" t="n">
        <v>0</v>
      </c>
      <c r="J129" s="66" t="n">
        <v>0.5</v>
      </c>
      <c r="K129" s="66" t="n">
        <v>0.65</v>
      </c>
      <c r="L129" s="66" t="n">
        <v>0.65</v>
      </c>
      <c r="M129" s="66" t="n">
        <v>0.65</v>
      </c>
      <c r="N129" s="66" t="n">
        <v>0.65</v>
      </c>
      <c r="O129" s="66" t="n">
        <v>0.65</v>
      </c>
      <c r="P129" s="66" t="n">
        <v>0.65</v>
      </c>
      <c r="Q129" s="66" t="n">
        <v>0.65</v>
      </c>
      <c r="R129" s="66" t="n">
        <v>0.65</v>
      </c>
    </row>
    <row r="130" hidden="1" customFormat="1" s="13">
      <c r="A130" s="12" t="n"/>
      <c r="B130" s="12" t="n"/>
      <c r="C130" s="199" t="n"/>
      <c r="D130" s="200" t="inlineStr">
        <is>
          <t>إيرادات الغرف</t>
        </is>
      </c>
      <c r="E130" s="203">
        <f>H23</f>
        <v/>
      </c>
      <c r="F130" s="1">
        <f>F129*F128*$E129*$E128</f>
        <v/>
      </c>
      <c r="G130" s="1">
        <f>G129*G128*$E130*$E129</f>
        <v/>
      </c>
      <c r="H130" s="1">
        <f>H129*H128*$E130*$E129</f>
        <v/>
      </c>
      <c r="I130" s="1">
        <f>I129*I128*$E130*$E129</f>
        <v/>
      </c>
      <c r="J130" s="1">
        <f>J129*J128*$E130*$E129</f>
        <v/>
      </c>
      <c r="K130" s="1">
        <f>K129*K128*$E130*$E129</f>
        <v/>
      </c>
      <c r="L130" s="1">
        <f>L129*L128*$E130*$E129</f>
        <v/>
      </c>
      <c r="M130" s="1">
        <f>M129*M128*$E130*$E129</f>
        <v/>
      </c>
      <c r="N130" s="1">
        <f>N129*N128*$E130*$E129</f>
        <v/>
      </c>
      <c r="O130" s="1">
        <f>O129*O128*$E130*$E129</f>
        <v/>
      </c>
      <c r="P130" s="1">
        <f>P129*P128*$E130*$E129</f>
        <v/>
      </c>
      <c r="Q130" s="1">
        <f>Q129*Q128*$E130*$E129</f>
        <v/>
      </c>
      <c r="R130" s="1">
        <f>R129*R128*$E130*$E129</f>
        <v/>
      </c>
    </row>
    <row r="131" hidden="1" customFormat="1" s="13">
      <c r="A131" s="12" t="n"/>
      <c r="B131" s="12" t="n"/>
      <c r="C131" s="199" t="n"/>
      <c r="D131" s="200" t="inlineStr">
        <is>
          <t>الإيرادات الأخرى</t>
        </is>
      </c>
      <c r="E131" s="204" t="n">
        <v>0.65</v>
      </c>
      <c r="F131" s="1">
        <f>F130*$E131</f>
        <v/>
      </c>
      <c r="G131" s="1">
        <f>G130*$E131</f>
        <v/>
      </c>
      <c r="H131" s="1">
        <f>H130*$E131</f>
        <v/>
      </c>
      <c r="I131" s="1">
        <f>I130*$E131</f>
        <v/>
      </c>
      <c r="J131" s="1">
        <f>J130*$E131</f>
        <v/>
      </c>
      <c r="K131" s="1">
        <f>K130*$E131</f>
        <v/>
      </c>
      <c r="L131" s="1">
        <f>L130*$E131</f>
        <v/>
      </c>
      <c r="M131" s="1">
        <f>M130*$E131</f>
        <v/>
      </c>
      <c r="N131" s="1">
        <f>N130*$E131</f>
        <v/>
      </c>
      <c r="O131" s="1">
        <f>O130*$E131</f>
        <v/>
      </c>
      <c r="P131" s="1">
        <f>P130*$E131</f>
        <v/>
      </c>
      <c r="Q131" s="1">
        <f>Q130*$E131</f>
        <v/>
      </c>
      <c r="R131" s="1">
        <f>R130*$E131</f>
        <v/>
      </c>
    </row>
    <row r="132" hidden="1" customFormat="1" s="13">
      <c r="A132" s="12" t="n"/>
      <c r="B132" s="12" t="n"/>
      <c r="C132" s="205" t="n"/>
      <c r="D132" s="205" t="inlineStr">
        <is>
          <t>اجمالي الإيرادات</t>
        </is>
      </c>
      <c r="E132" s="206" t="n"/>
      <c r="F132" s="3">
        <f>SUM(F130:F131)</f>
        <v/>
      </c>
      <c r="G132" s="3">
        <f>SUM(G130:G131)</f>
        <v/>
      </c>
      <c r="H132" s="3">
        <f>SUM(H130:H131)</f>
        <v/>
      </c>
      <c r="I132" s="3">
        <f>SUM(I130:I131)</f>
        <v/>
      </c>
      <c r="J132" s="3">
        <f>SUM(J130:J131)</f>
        <v/>
      </c>
      <c r="K132" s="3">
        <f>SUM(K130:K131)</f>
        <v/>
      </c>
      <c r="L132" s="3">
        <f>SUM(L130:L131)</f>
        <v/>
      </c>
      <c r="M132" s="3">
        <f>SUM(M130:M131)</f>
        <v/>
      </c>
      <c r="N132" s="3">
        <f>SUM(N130:N131)</f>
        <v/>
      </c>
      <c r="O132" s="3">
        <f>SUM(O130:O131)</f>
        <v/>
      </c>
      <c r="P132" s="3">
        <f>SUM(P130:P131)</f>
        <v/>
      </c>
      <c r="Q132" s="3">
        <f>SUM(Q130:Q131)</f>
        <v/>
      </c>
      <c r="R132" s="3">
        <f>SUM(R130:R131)</f>
        <v/>
      </c>
    </row>
    <row r="133" hidden="1" customFormat="1" s="13">
      <c r="A133" s="12" t="n"/>
      <c r="B133" s="12" t="n"/>
      <c r="C133" s="199" t="n"/>
      <c r="D133" s="200" t="inlineStr">
        <is>
          <t>مصروفات التشغيل</t>
        </is>
      </c>
      <c r="E133" s="204" t="n">
        <v>0.6</v>
      </c>
      <c r="F133" s="1">
        <f>F132*-$E133</f>
        <v/>
      </c>
      <c r="G133" s="1">
        <f>G132*-$E133</f>
        <v/>
      </c>
      <c r="H133" s="1">
        <f>H132*-$E133</f>
        <v/>
      </c>
      <c r="I133" s="1">
        <f>I132*-$E133</f>
        <v/>
      </c>
      <c r="J133" s="1">
        <f>J132*-$E133</f>
        <v/>
      </c>
      <c r="K133" s="1">
        <f>K132*-$E133</f>
        <v/>
      </c>
      <c r="L133" s="1">
        <f>L132*-$E133</f>
        <v/>
      </c>
      <c r="M133" s="1">
        <f>M132*-$E133</f>
        <v/>
      </c>
      <c r="N133" s="1">
        <f>N132*-$E133</f>
        <v/>
      </c>
      <c r="O133" s="1">
        <f>O132*-$E133</f>
        <v/>
      </c>
      <c r="P133" s="1">
        <f>P132*-$E133</f>
        <v/>
      </c>
      <c r="Q133" s="1">
        <f>Q132*-$E133</f>
        <v/>
      </c>
      <c r="R133" s="1">
        <f>R132*-$E133</f>
        <v/>
      </c>
    </row>
    <row r="134" hidden="1" customFormat="1" s="12">
      <c r="C134" s="207" t="n"/>
      <c r="D134" s="207" t="inlineStr">
        <is>
          <t>صافي الدخل التشغيلي - الفندقي</t>
        </is>
      </c>
      <c r="E134" s="208" t="n"/>
      <c r="F134" s="61">
        <f>SUM(F132:F133)</f>
        <v/>
      </c>
      <c r="G134" s="61">
        <f>SUM(G132:G133)</f>
        <v/>
      </c>
      <c r="H134" s="61">
        <f>SUM(H132:H133)</f>
        <v/>
      </c>
      <c r="I134" s="61">
        <f>SUM(I132:I133)</f>
        <v/>
      </c>
      <c r="J134" s="61">
        <f>SUM(J132:J133)</f>
        <v/>
      </c>
      <c r="K134" s="61">
        <f>SUM(K132:K133)</f>
        <v/>
      </c>
      <c r="L134" s="61">
        <f>SUM(L132:L133)</f>
        <v/>
      </c>
      <c r="M134" s="61">
        <f>SUM(M132:M133)</f>
        <v/>
      </c>
      <c r="N134" s="61">
        <f>SUM(N132:N133)</f>
        <v/>
      </c>
      <c r="O134" s="61">
        <f>SUM(O132:O133)</f>
        <v/>
      </c>
      <c r="P134" s="61">
        <f>SUM(P132:P133)</f>
        <v/>
      </c>
      <c r="Q134" s="61">
        <f>SUM(Q132:Q133)</f>
        <v/>
      </c>
      <c r="R134" s="61">
        <f>SUM(R132:R133)</f>
        <v/>
      </c>
    </row>
    <row r="135" hidden="1" customFormat="1" s="13">
      <c r="A135" s="12" t="n"/>
      <c r="B135" s="12" t="n"/>
      <c r="C135" s="59" t="inlineStr">
        <is>
          <t>صافي دخل المشروع</t>
        </is>
      </c>
      <c r="D135" s="60" t="n"/>
      <c r="E135" s="120" t="n"/>
      <c r="F135" s="60">
        <f>F$110</f>
        <v/>
      </c>
      <c r="G135" s="60">
        <f>G$110</f>
        <v/>
      </c>
      <c r="H135" s="60">
        <f>H$110</f>
        <v/>
      </c>
      <c r="I135" s="60">
        <f>I$110</f>
        <v/>
      </c>
      <c r="J135" s="60">
        <f>J$110</f>
        <v/>
      </c>
      <c r="K135" s="60">
        <f>K$110</f>
        <v/>
      </c>
      <c r="L135" s="60">
        <f>L$110</f>
        <v/>
      </c>
      <c r="M135" s="60">
        <f>M$110</f>
        <v/>
      </c>
      <c r="N135" s="60">
        <f>N$110</f>
        <v/>
      </c>
      <c r="O135" s="60">
        <f>O$110</f>
        <v/>
      </c>
      <c r="P135" s="60">
        <f>P$110</f>
        <v/>
      </c>
      <c r="Q135" s="60">
        <f>Q$110</f>
        <v/>
      </c>
      <c r="R135" s="60">
        <f>R$110</f>
        <v/>
      </c>
    </row>
    <row r="136" hidden="1" customFormat="1" s="13">
      <c r="A136" s="12" t="n"/>
      <c r="B136" s="12" t="n"/>
      <c r="C136" s="12" t="n"/>
      <c r="D136" s="13" t="inlineStr">
        <is>
          <t xml:space="preserve">المكتبي </t>
        </is>
      </c>
      <c r="E136" s="121" t="n"/>
      <c r="F136" s="8">
        <f>F118</f>
        <v/>
      </c>
      <c r="G136" s="8">
        <f>G118</f>
        <v/>
      </c>
      <c r="H136" s="8">
        <f>H118</f>
        <v/>
      </c>
      <c r="I136" s="8">
        <f>I118</f>
        <v/>
      </c>
      <c r="J136" s="8">
        <f>J118</f>
        <v/>
      </c>
      <c r="K136" s="8">
        <f>K118</f>
        <v/>
      </c>
      <c r="L136" s="8">
        <f>L118</f>
        <v/>
      </c>
      <c r="M136" s="8">
        <f>M118</f>
        <v/>
      </c>
      <c r="N136" s="8">
        <f>N118</f>
        <v/>
      </c>
      <c r="O136" s="8">
        <f>O118</f>
        <v/>
      </c>
      <c r="P136" s="8">
        <f>P118</f>
        <v/>
      </c>
      <c r="Q136" s="8">
        <f>Q118</f>
        <v/>
      </c>
      <c r="R136" s="8">
        <f>R118</f>
        <v/>
      </c>
    </row>
    <row r="137" customFormat="1" s="13">
      <c r="A137" s="12" t="n"/>
      <c r="B137" s="12" t="n"/>
      <c r="C137" s="12" t="n"/>
      <c r="D137" s="13" t="inlineStr">
        <is>
          <t xml:space="preserve">التجاري </t>
        </is>
      </c>
      <c r="E137" s="121" t="n"/>
      <c r="F137" s="8">
        <f>F126</f>
        <v/>
      </c>
      <c r="G137" s="8">
        <f>G126</f>
        <v/>
      </c>
      <c r="H137" s="8">
        <f>H126</f>
        <v/>
      </c>
      <c r="I137" s="8">
        <f>I126</f>
        <v/>
      </c>
      <c r="J137" s="8">
        <f>J126</f>
        <v/>
      </c>
      <c r="K137" s="8">
        <f>K126</f>
        <v/>
      </c>
      <c r="L137" s="8">
        <f>L126</f>
        <v/>
      </c>
      <c r="M137" s="8">
        <f>M126</f>
        <v/>
      </c>
      <c r="N137" s="8">
        <f>N126</f>
        <v/>
      </c>
      <c r="O137" s="8">
        <f>O126</f>
        <v/>
      </c>
      <c r="P137" s="8">
        <f>P126</f>
        <v/>
      </c>
      <c r="Q137" s="8">
        <f>Q126</f>
        <v/>
      </c>
      <c r="R137" s="8">
        <f>R126</f>
        <v/>
      </c>
    </row>
    <row r="138" hidden="1" customFormat="1" s="13">
      <c r="A138" s="12" t="n"/>
      <c r="B138" s="12" t="n"/>
      <c r="C138" s="12" t="n"/>
      <c r="D138" s="13" t="inlineStr">
        <is>
          <t>الفندقي</t>
        </is>
      </c>
      <c r="E138" s="121" t="n"/>
      <c r="F138" s="8">
        <f>F134</f>
        <v/>
      </c>
      <c r="G138" s="8">
        <f>G134</f>
        <v/>
      </c>
      <c r="H138" s="8">
        <f>H134</f>
        <v/>
      </c>
      <c r="I138" s="8">
        <f>I134</f>
        <v/>
      </c>
      <c r="J138" s="8">
        <f>J134</f>
        <v/>
      </c>
      <c r="K138" s="8">
        <f>K134</f>
        <v/>
      </c>
      <c r="L138" s="8">
        <f>L134</f>
        <v/>
      </c>
      <c r="M138" s="8">
        <f>M134</f>
        <v/>
      </c>
      <c r="N138" s="8">
        <f>N134</f>
        <v/>
      </c>
      <c r="O138" s="8">
        <f>O134</f>
        <v/>
      </c>
      <c r="P138" s="8">
        <f>P134</f>
        <v/>
      </c>
      <c r="Q138" s="8">
        <f>Q134</f>
        <v/>
      </c>
      <c r="R138" s="8">
        <f>R134</f>
        <v/>
      </c>
    </row>
    <row r="139" customFormat="1" s="13">
      <c r="A139" s="12" t="n"/>
      <c r="B139" s="12" t="n"/>
      <c r="C139" s="189" t="n"/>
      <c r="D139" s="189" t="inlineStr">
        <is>
          <t xml:space="preserve">صافي الدخل التشغيلي </t>
        </is>
      </c>
      <c r="E139" s="190" t="n"/>
      <c r="F139" s="191">
        <f>SUM(F136:F138)</f>
        <v/>
      </c>
      <c r="G139" s="191">
        <f>SUM(G136:G138)</f>
        <v/>
      </c>
      <c r="H139" s="191">
        <f>SUM(H136:H138)</f>
        <v/>
      </c>
      <c r="I139" s="191">
        <f>SUM(I136:I138)</f>
        <v/>
      </c>
      <c r="J139" s="191">
        <f>SUM(J136:J138)</f>
        <v/>
      </c>
      <c r="K139" s="191">
        <f>SUM(K136:K138)</f>
        <v/>
      </c>
      <c r="L139" s="191">
        <f>SUM(L136:L138)</f>
        <v/>
      </c>
      <c r="M139" s="191">
        <f>SUM(M136:M138)</f>
        <v/>
      </c>
      <c r="N139" s="191">
        <f>SUM(N136:N138)</f>
        <v/>
      </c>
      <c r="O139" s="191">
        <f>SUM(O136:O138)</f>
        <v/>
      </c>
      <c r="P139" s="191">
        <f>SUM(P136:P138)</f>
        <v/>
      </c>
      <c r="Q139" s="191">
        <f>SUM(Q136:Q138)</f>
        <v/>
      </c>
      <c r="R139" s="191">
        <f>SUM(R136:R138)</f>
        <v/>
      </c>
    </row>
    <row r="140" customFormat="1" s="13">
      <c r="A140" s="12" t="n"/>
      <c r="B140" s="12" t="n"/>
      <c r="C140" s="59" t="inlineStr">
        <is>
          <t>بيع المشروع</t>
        </is>
      </c>
      <c r="D140" s="60" t="n"/>
      <c r="E140" s="125" t="n"/>
      <c r="F140" s="60">
        <f>F$110</f>
        <v/>
      </c>
      <c r="G140" s="60">
        <f>G$110</f>
        <v/>
      </c>
      <c r="H140" s="60">
        <f>H$110</f>
        <v/>
      </c>
      <c r="I140" s="60">
        <f>I$110</f>
        <v/>
      </c>
      <c r="J140" s="60">
        <f>J$110</f>
        <v/>
      </c>
      <c r="K140" s="60">
        <f>K$110</f>
        <v/>
      </c>
      <c r="L140" s="60">
        <f>L$110</f>
        <v/>
      </c>
      <c r="M140" s="60">
        <f>M$110</f>
        <v/>
      </c>
      <c r="N140" s="60">
        <f>N$110</f>
        <v/>
      </c>
      <c r="O140" s="60">
        <f>O$110</f>
        <v/>
      </c>
      <c r="P140" s="60">
        <f>P$110</f>
        <v/>
      </c>
      <c r="Q140" s="60">
        <f>Q$110</f>
        <v/>
      </c>
      <c r="R140" s="60">
        <f>R$110</f>
        <v/>
      </c>
    </row>
    <row r="141" customFormat="1" s="13">
      <c r="A141" s="12" t="n"/>
      <c r="B141" s="12" t="n"/>
      <c r="C141" s="12" t="n"/>
      <c r="D141" s="13" t="inlineStr">
        <is>
          <t>سنة البيع</t>
        </is>
      </c>
      <c r="E141" s="126" t="n">
        <v>5</v>
      </c>
      <c r="F141" s="127" t="n">
        <v>1</v>
      </c>
      <c r="G141" s="127">
        <f>IF(G110&lt;=$E141,1,0)</f>
        <v/>
      </c>
      <c r="H141" s="127">
        <f>IF(H110&lt;=$E141,1,0)</f>
        <v/>
      </c>
      <c r="I141" s="127">
        <f>IF(I110&lt;=$E141,1,0)</f>
        <v/>
      </c>
      <c r="J141" s="127">
        <f>IF(J110&lt;=$E141,1,0)</f>
        <v/>
      </c>
      <c r="K141" s="127">
        <f>IF(K110&lt;=$E141,1,0)</f>
        <v/>
      </c>
      <c r="L141" s="127">
        <f>IF(L110&lt;=$E141,1,0)</f>
        <v/>
      </c>
      <c r="M141" s="127">
        <f>IF(M110&lt;=$E141,1,0)</f>
        <v/>
      </c>
      <c r="N141" s="127">
        <f>IF(N110&lt;=$E141,1,0)</f>
        <v/>
      </c>
      <c r="O141" s="127">
        <f>IF(O110&lt;=$E141,1,0)</f>
        <v/>
      </c>
      <c r="P141" s="127">
        <f>IF(P110&lt;=$E141,1,0)</f>
        <v/>
      </c>
      <c r="Q141" s="127">
        <f>IF(Q110&lt;=$E141,1,0)</f>
        <v/>
      </c>
      <c r="R141" s="127">
        <f>IF(R110&lt;=$E141,1,0)</f>
        <v/>
      </c>
    </row>
    <row r="142" customFormat="1" s="13">
      <c r="A142" s="12" t="n"/>
      <c r="B142" s="12" t="n"/>
      <c r="C142" s="12" t="n"/>
      <c r="D142" s="13" t="inlineStr">
        <is>
          <t>معامل رسملة البيع</t>
        </is>
      </c>
      <c r="E142" s="133" t="n">
        <v>0</v>
      </c>
      <c r="F142" s="111" t="n"/>
      <c r="G142" s="8" t="n"/>
      <c r="H142" s="8" t="n"/>
      <c r="I142" s="8" t="n"/>
      <c r="J142" s="8" t="n"/>
      <c r="K142" s="8" t="n"/>
      <c r="L142" s="8" t="n"/>
      <c r="M142" s="111" t="n"/>
      <c r="N142" s="8" t="n"/>
      <c r="O142" s="8" t="n"/>
      <c r="P142" s="8" t="n"/>
      <c r="Q142" s="8" t="n"/>
      <c r="R142" s="8" t="n"/>
    </row>
    <row r="143" customFormat="1" s="13">
      <c r="A143" s="12" t="n"/>
      <c r="B143" s="12" t="n"/>
      <c r="C143" s="12" t="n"/>
      <c r="D143" s="13" t="inlineStr">
        <is>
          <t>بيع المشروع</t>
        </is>
      </c>
      <c r="E143" s="128">
        <f>SUM(F143:P143)</f>
        <v/>
      </c>
      <c r="F143" s="8">
        <f>IF(F$110=$E$141,F139/$E142,0)</f>
        <v/>
      </c>
      <c r="G143" s="8">
        <f>IF(G$110=$E$141,H139/$E142,0)</f>
        <v/>
      </c>
      <c r="H143" s="8">
        <f>IF(H$110=$E$141,I139/$E142,0)</f>
        <v/>
      </c>
      <c r="I143" s="8">
        <f>IF(I$110=$E$141,J139/$E142,0)</f>
        <v/>
      </c>
      <c r="J143" s="8">
        <f>IF(J$110=$E$141,K139/$E142,0)</f>
        <v/>
      </c>
      <c r="K143" s="8" t="n">
        <v>0</v>
      </c>
      <c r="L143" s="8">
        <f>IF(L$110=$E$141,L139/$E142,0)</f>
        <v/>
      </c>
      <c r="M143" s="8">
        <f>IF(M$110=$E$141,N139/$E142,0)</f>
        <v/>
      </c>
      <c r="N143" s="8">
        <f>IF(N$110=$E$141,O139/$E142,0)</f>
        <v/>
      </c>
      <c r="O143" s="8">
        <f>IF(O$110=$E$141,P139/$E142,0)</f>
        <v/>
      </c>
      <c r="P143" s="8">
        <f>IF(P$110=$E$141,Q139/$E142,0)</f>
        <v/>
      </c>
      <c r="Q143" s="8">
        <f>IF(Q$110=$E$141,R139/$E142,0)</f>
        <v/>
      </c>
      <c r="R143" s="8">
        <f>IF(R$110=$E$141,S139/$E142,0)</f>
        <v/>
      </c>
    </row>
    <row r="144" customFormat="1" s="13">
      <c r="A144" s="12" t="n"/>
      <c r="B144" s="12" t="n"/>
      <c r="C144" s="96" t="n"/>
      <c r="D144" s="96" t="inlineStr">
        <is>
          <t>اجمالي التدفق النقدي الداخلي</t>
        </is>
      </c>
      <c r="E144" s="129">
        <f>SUM(F144:R144)</f>
        <v/>
      </c>
      <c r="F144" s="97">
        <f>IF(F110&lt;=$E141,F139+F143,0)</f>
        <v/>
      </c>
      <c r="G144" s="97">
        <f>G139</f>
        <v/>
      </c>
      <c r="H144" s="97">
        <f>H139</f>
        <v/>
      </c>
      <c r="I144" s="97">
        <f>I139</f>
        <v/>
      </c>
      <c r="J144" s="97">
        <f>J139</f>
        <v/>
      </c>
      <c r="K144" s="97">
        <f>K139</f>
        <v/>
      </c>
      <c r="L144" s="97">
        <f>L139</f>
        <v/>
      </c>
      <c r="M144" s="97">
        <f>M139</f>
        <v/>
      </c>
      <c r="N144" s="97">
        <f>N139</f>
        <v/>
      </c>
      <c r="O144" s="97">
        <f>O139</f>
        <v/>
      </c>
      <c r="P144" s="97">
        <f>P139</f>
        <v/>
      </c>
      <c r="Q144" s="97">
        <f>Q139</f>
        <v/>
      </c>
      <c r="R144" s="97">
        <f>R139</f>
        <v/>
      </c>
    </row>
    <row r="145" customFormat="1" s="13">
      <c r="C145" s="154" t="n"/>
      <c r="D145" s="57" t="inlineStr">
        <is>
          <t xml:space="preserve">تحصيل مبيعات البيع على الخارطة </t>
        </is>
      </c>
      <c r="E145" s="157">
        <f>SUM(F145:R145)</f>
        <v/>
      </c>
      <c r="F145" s="156" t="n"/>
      <c r="G145" s="155">
        <f>G106</f>
        <v/>
      </c>
      <c r="H145" s="155">
        <f>H106</f>
        <v/>
      </c>
      <c r="I145" s="155">
        <f>I106</f>
        <v/>
      </c>
      <c r="J145" s="155">
        <f>J106</f>
        <v/>
      </c>
      <c r="K145" s="155">
        <f>K106</f>
        <v/>
      </c>
      <c r="L145" s="155">
        <f>L106</f>
        <v/>
      </c>
      <c r="M145" s="155">
        <f>M106</f>
        <v/>
      </c>
      <c r="N145" s="155">
        <f>N106</f>
        <v/>
      </c>
      <c r="O145" s="155">
        <f>O106</f>
        <v/>
      </c>
      <c r="P145" s="155">
        <f>P106</f>
        <v/>
      </c>
      <c r="Q145" s="155">
        <f>Q106</f>
        <v/>
      </c>
      <c r="R145" s="155">
        <f>R106</f>
        <v/>
      </c>
    </row>
    <row r="146" customFormat="1" s="151">
      <c r="A146" s="150" t="n"/>
      <c r="B146" s="150" t="n"/>
      <c r="C146" s="23" t="n"/>
      <c r="D146" s="23" t="inlineStr">
        <is>
          <t>إجمالي التدفقات النقدية</t>
        </is>
      </c>
      <c r="E146" s="24">
        <f>SUM(F146:R146)</f>
        <v/>
      </c>
      <c r="F146" s="24">
        <f>SUM(F144:F145)</f>
        <v/>
      </c>
      <c r="G146" s="24">
        <f>SUM(G144:G145)</f>
        <v/>
      </c>
      <c r="H146" s="24">
        <f>SUM(H144:H145)</f>
        <v/>
      </c>
      <c r="I146" s="24">
        <f>SUM(I144:I145)</f>
        <v/>
      </c>
      <c r="J146" s="24">
        <f>SUM(J144:J145)</f>
        <v/>
      </c>
      <c r="K146" s="24">
        <f>SUM(K144:K145)</f>
        <v/>
      </c>
      <c r="L146" s="24">
        <f>SUM(L144:L145)</f>
        <v/>
      </c>
      <c r="M146" s="24">
        <f>SUM(M144:M145)</f>
        <v/>
      </c>
      <c r="N146" s="24">
        <f>SUM(N144:N145)</f>
        <v/>
      </c>
      <c r="O146" s="24">
        <f>SUM(O144:O145)</f>
        <v/>
      </c>
      <c r="P146" s="24">
        <f>SUM(P144:P145)</f>
        <v/>
      </c>
      <c r="Q146" s="24">
        <f>SUM(Q144:Q145)</f>
        <v/>
      </c>
      <c r="R146" s="24">
        <f>SUM(R144:R145)</f>
        <v/>
      </c>
    </row>
    <row r="147" customFormat="1" s="13">
      <c r="A147" s="12" t="n"/>
      <c r="B147" s="12" t="n"/>
      <c r="C147" s="59" t="inlineStr">
        <is>
          <t>تكاليف المشروع</t>
        </is>
      </c>
      <c r="D147" s="60" t="n"/>
      <c r="E147" s="120" t="n"/>
      <c r="F147" s="60">
        <f>F$110</f>
        <v/>
      </c>
      <c r="G147" s="60">
        <f>G$110</f>
        <v/>
      </c>
      <c r="H147" s="60">
        <f>H$110</f>
        <v/>
      </c>
      <c r="I147" s="60">
        <f>I$110</f>
        <v/>
      </c>
      <c r="J147" s="60">
        <f>J$110</f>
        <v/>
      </c>
      <c r="K147" s="60">
        <f>K$110</f>
        <v/>
      </c>
      <c r="L147" s="60">
        <f>L$110</f>
        <v/>
      </c>
      <c r="M147" s="60">
        <f>M$110</f>
        <v/>
      </c>
      <c r="N147" s="60">
        <f>N$110</f>
        <v/>
      </c>
      <c r="O147" s="60">
        <f>O$110</f>
        <v/>
      </c>
      <c r="P147" s="60">
        <f>P$110</f>
        <v/>
      </c>
      <c r="Q147" s="60">
        <f>Q$110</f>
        <v/>
      </c>
      <c r="R147" s="60">
        <f>R$110</f>
        <v/>
      </c>
    </row>
    <row r="148" customFormat="1" s="13">
      <c r="A148" s="12" t="n"/>
      <c r="B148" s="12" t="n"/>
      <c r="C148" s="12" t="n"/>
      <c r="D148" s="13" t="inlineStr">
        <is>
          <t>نسبة توزيع تكلفة الأرض</t>
        </is>
      </c>
      <c r="E148" s="130">
        <f>SUM(F148:R148)</f>
        <v/>
      </c>
      <c r="F148" s="20" t="n">
        <v>1</v>
      </c>
      <c r="G148" s="20" t="n">
        <v>0</v>
      </c>
      <c r="H148" s="20" t="n">
        <v>0</v>
      </c>
      <c r="I148" s="20" t="n">
        <v>0</v>
      </c>
      <c r="J148" s="20" t="n">
        <v>0</v>
      </c>
      <c r="K148" s="20" t="n">
        <v>0</v>
      </c>
      <c r="L148" s="20" t="n">
        <v>0</v>
      </c>
      <c r="M148" s="20" t="n">
        <v>0</v>
      </c>
      <c r="N148" s="20" t="n">
        <v>0</v>
      </c>
      <c r="O148" s="20" t="n">
        <v>0</v>
      </c>
      <c r="P148" s="20" t="n">
        <v>0</v>
      </c>
      <c r="Q148" s="20" t="n">
        <v>0</v>
      </c>
      <c r="R148" s="20" t="n">
        <v>0</v>
      </c>
    </row>
    <row r="149" customFormat="1" s="13">
      <c r="A149" s="12" t="n"/>
      <c r="B149" s="12" t="n"/>
      <c r="C149" s="12" t="n"/>
      <c r="D149" s="13" t="inlineStr">
        <is>
          <t>تكلفة الأرض</t>
        </is>
      </c>
      <c r="E149" s="121">
        <f>G44</f>
        <v/>
      </c>
      <c r="F149" s="8">
        <f>E149*-F148</f>
        <v/>
      </c>
      <c r="G149" s="8" t="n">
        <v>0</v>
      </c>
      <c r="H149" s="8" t="n">
        <v>0</v>
      </c>
      <c r="I149" s="8" t="n">
        <v>0</v>
      </c>
      <c r="J149" s="8" t="n">
        <v>0</v>
      </c>
      <c r="K149" s="8" t="n">
        <v>0</v>
      </c>
      <c r="L149" s="8" t="n">
        <v>0</v>
      </c>
      <c r="M149" s="8" t="n">
        <v>0</v>
      </c>
      <c r="N149" s="8" t="n">
        <v>0</v>
      </c>
      <c r="O149" s="8" t="n">
        <v>0</v>
      </c>
      <c r="P149" s="8" t="n">
        <v>0</v>
      </c>
      <c r="Q149" s="8" t="n">
        <v>0</v>
      </c>
      <c r="R149" s="8" t="n">
        <v>0</v>
      </c>
    </row>
    <row r="150" customFormat="1" s="13">
      <c r="A150" s="12" t="n"/>
      <c r="B150" s="12" t="n"/>
      <c r="C150" s="12" t="n"/>
      <c r="D150" s="13" t="inlineStr">
        <is>
          <t>نسبة توزيع التكاليف</t>
        </is>
      </c>
      <c r="E150" s="130">
        <f>SUM(F150:R150)</f>
        <v/>
      </c>
      <c r="F150" s="131" t="n"/>
      <c r="G150" s="192" t="n">
        <v>0.5</v>
      </c>
      <c r="H150" s="192" t="n">
        <v>0.5</v>
      </c>
      <c r="I150" s="192" t="n">
        <v>0</v>
      </c>
      <c r="J150" s="20" t="n">
        <v>0</v>
      </c>
      <c r="K150" s="20" t="n">
        <v>0</v>
      </c>
      <c r="L150" s="20" t="n">
        <v>0</v>
      </c>
      <c r="M150" s="20" t="n">
        <v>0</v>
      </c>
      <c r="N150" s="20" t="n">
        <v>0</v>
      </c>
      <c r="O150" s="20" t="n">
        <v>0</v>
      </c>
      <c r="P150" s="20" t="n">
        <v>0</v>
      </c>
      <c r="Q150" s="20" t="n">
        <v>0</v>
      </c>
      <c r="R150" s="20" t="n">
        <v>0</v>
      </c>
    </row>
    <row r="151" customFormat="1" s="13">
      <c r="A151" s="12" t="n"/>
      <c r="B151" s="12" t="n"/>
      <c r="C151" s="12" t="n"/>
      <c r="D151" s="13" t="inlineStr">
        <is>
          <t>تكاليف المباني والانشاءات</t>
        </is>
      </c>
      <c r="E151" s="121">
        <f>G60-E153</f>
        <v/>
      </c>
      <c r="F151" s="132" t="n"/>
      <c r="G151" s="8">
        <f>G150*-$E151</f>
        <v/>
      </c>
      <c r="H151" s="8">
        <f>H150*-$E151</f>
        <v/>
      </c>
      <c r="I151" s="8">
        <f>I150*-$E151</f>
        <v/>
      </c>
      <c r="J151" s="8">
        <f>J150*-$E151</f>
        <v/>
      </c>
      <c r="K151" s="8">
        <f>K150*-$E151</f>
        <v/>
      </c>
      <c r="L151" s="8">
        <f>L150*-$E151</f>
        <v/>
      </c>
      <c r="M151" s="8">
        <f>M150*-$E151</f>
        <v/>
      </c>
      <c r="N151" s="8">
        <f>N150*-$E151</f>
        <v/>
      </c>
      <c r="O151" s="8">
        <f>O150*-$E151</f>
        <v/>
      </c>
      <c r="P151" s="8">
        <f>P150*-$E151</f>
        <v/>
      </c>
      <c r="Q151" s="8">
        <f>Q150*-$E151</f>
        <v/>
      </c>
      <c r="R151" s="8">
        <f>R150*-$E151</f>
        <v/>
      </c>
    </row>
    <row r="152" customFormat="1" s="13">
      <c r="A152" s="12" t="n"/>
      <c r="B152" s="12" t="n"/>
      <c r="C152" s="12" t="n"/>
      <c r="D152" s="13" t="inlineStr">
        <is>
          <t>نسبة توزيع تكاليف المطور</t>
        </is>
      </c>
      <c r="E152" s="130">
        <f>SUM(F152:R152)</f>
        <v/>
      </c>
      <c r="F152" s="131" t="n"/>
      <c r="G152" s="192" t="n">
        <v>0.5</v>
      </c>
      <c r="H152" s="192" t="n">
        <v>0.5</v>
      </c>
      <c r="I152" s="192" t="n">
        <v>0</v>
      </c>
      <c r="J152" s="20" t="n">
        <v>0</v>
      </c>
      <c r="K152" s="20" t="n">
        <v>0</v>
      </c>
      <c r="L152" s="20" t="n">
        <v>0</v>
      </c>
      <c r="M152" s="20" t="n">
        <v>0</v>
      </c>
      <c r="N152" s="20" t="n">
        <v>0</v>
      </c>
      <c r="O152" s="20" t="n">
        <v>0</v>
      </c>
      <c r="P152" s="20" t="n">
        <v>0</v>
      </c>
      <c r="Q152" s="20" t="n">
        <v>0</v>
      </c>
      <c r="R152" s="20" t="n">
        <v>0</v>
      </c>
    </row>
    <row r="153" customFormat="1" s="13">
      <c r="A153" s="12" t="n"/>
      <c r="B153" s="12" t="n"/>
      <c r="C153" s="12" t="n"/>
      <c r="D153" s="13" t="inlineStr">
        <is>
          <t>تكاليف المطور</t>
        </is>
      </c>
      <c r="E153" s="121">
        <f>G58</f>
        <v/>
      </c>
      <c r="F153" s="132" t="n"/>
      <c r="G153" s="8">
        <f>G152*-$E153</f>
        <v/>
      </c>
      <c r="H153" s="8">
        <f>H152*-$E153</f>
        <v/>
      </c>
      <c r="I153" s="8">
        <f>I152*-$E153</f>
        <v/>
      </c>
      <c r="J153" s="8">
        <f>J152*-$E153</f>
        <v/>
      </c>
      <c r="K153" s="8">
        <f>K152*-$E153</f>
        <v/>
      </c>
      <c r="L153" s="8">
        <f>L152*-$E153</f>
        <v/>
      </c>
      <c r="M153" s="8">
        <f>M152*-$E153</f>
        <v/>
      </c>
      <c r="N153" s="8">
        <f>N152*-$E153</f>
        <v/>
      </c>
      <c r="O153" s="8">
        <f>O152*-$E153</f>
        <v/>
      </c>
      <c r="P153" s="8">
        <f>P152*-$E153</f>
        <v/>
      </c>
      <c r="Q153" s="8">
        <f>Q152*-$E153</f>
        <v/>
      </c>
      <c r="R153" s="8">
        <f>R152*-$E153</f>
        <v/>
      </c>
    </row>
    <row r="154" customFormat="1" s="13">
      <c r="A154" s="12" t="n"/>
      <c r="B154" s="12" t="n"/>
      <c r="C154" s="12" t="n"/>
      <c r="D154" s="38" t="inlineStr">
        <is>
          <t>اجمالي تكاليف التطوير</t>
        </is>
      </c>
      <c r="E154" s="123">
        <f>SUM(F154:R154)</f>
        <v/>
      </c>
      <c r="F154" s="39">
        <f>SUM(F149,F151,F153)</f>
        <v/>
      </c>
      <c r="G154" s="39">
        <f>SUM(G149,G151,G153)</f>
        <v/>
      </c>
      <c r="H154" s="39">
        <f>SUM(H149,H151,H153)</f>
        <v/>
      </c>
      <c r="I154" s="39">
        <f>SUM(I149,I151,I153)</f>
        <v/>
      </c>
      <c r="J154" s="39">
        <f>SUM(J149,J151,J153)</f>
        <v/>
      </c>
      <c r="K154" s="39">
        <f>SUM(K149,K151,K153)</f>
        <v/>
      </c>
      <c r="L154" s="39">
        <f>SUM(L149,L151,L153)</f>
        <v/>
      </c>
      <c r="M154" s="39">
        <f>SUM(M149,M151,M153)</f>
        <v/>
      </c>
      <c r="N154" s="39">
        <f>SUM(N149,N151,N153)</f>
        <v/>
      </c>
      <c r="O154" s="39">
        <f>SUM(O149,O151,O153)</f>
        <v/>
      </c>
      <c r="P154" s="39">
        <f>SUM(P149,P151,P153)</f>
        <v/>
      </c>
      <c r="Q154" s="39">
        <f>SUM(Q149,Q151,Q153)</f>
        <v/>
      </c>
      <c r="R154" s="39">
        <f>SUM(R149,R151,R153)</f>
        <v/>
      </c>
    </row>
    <row r="155" customFormat="1" s="13">
      <c r="A155" s="12" t="n"/>
      <c r="B155" s="12" t="n"/>
      <c r="C155" s="59" t="inlineStr">
        <is>
          <t>التمويل البنكي</t>
        </is>
      </c>
      <c r="D155" s="60" t="n"/>
      <c r="E155" s="120" t="n"/>
      <c r="F155" s="60">
        <f>F$110</f>
        <v/>
      </c>
      <c r="G155" s="60">
        <f>G$110</f>
        <v/>
      </c>
      <c r="H155" s="60">
        <f>H$110</f>
        <v/>
      </c>
      <c r="I155" s="60">
        <f>I$110</f>
        <v/>
      </c>
      <c r="J155" s="60">
        <f>J$110</f>
        <v/>
      </c>
      <c r="K155" s="60">
        <f>K$110</f>
        <v/>
      </c>
      <c r="L155" s="60">
        <f>L$110</f>
        <v/>
      </c>
      <c r="M155" s="60">
        <f>M$110</f>
        <v/>
      </c>
      <c r="N155" s="60">
        <f>N$110</f>
        <v/>
      </c>
      <c r="O155" s="60">
        <f>O$110</f>
        <v/>
      </c>
      <c r="P155" s="60">
        <f>P$110</f>
        <v/>
      </c>
      <c r="Q155" s="60">
        <f>Q$110</f>
        <v/>
      </c>
      <c r="R155" s="60">
        <f>R$110</f>
        <v/>
      </c>
    </row>
    <row r="156" customFormat="1" s="13">
      <c r="A156" s="12" t="n"/>
      <c r="B156" s="12" t="n"/>
      <c r="C156" s="12" t="n"/>
      <c r="D156" s="13" t="inlineStr">
        <is>
          <t>سحب</t>
        </is>
      </c>
      <c r="E156" s="121">
        <f>SUM(F156:P156)</f>
        <v/>
      </c>
      <c r="F156" s="8">
        <f>IF(G$110=$E$141,SUM(F75:$P$75),IF(G$110&lt;$E$141,F75,0))</f>
        <v/>
      </c>
      <c r="G156" s="8">
        <f>G75</f>
        <v/>
      </c>
      <c r="H156" s="8">
        <f>H75</f>
        <v/>
      </c>
      <c r="I156" s="8">
        <f>I75</f>
        <v/>
      </c>
      <c r="J156" s="8">
        <f>J75</f>
        <v/>
      </c>
      <c r="K156" s="8">
        <f>K75</f>
        <v/>
      </c>
      <c r="L156" s="8">
        <f>L75</f>
        <v/>
      </c>
      <c r="M156" s="8">
        <f>M75</f>
        <v/>
      </c>
      <c r="N156" s="8">
        <f>N75</f>
        <v/>
      </c>
      <c r="O156" s="8">
        <f>O75</f>
        <v/>
      </c>
      <c r="P156" s="8">
        <f>P75</f>
        <v/>
      </c>
      <c r="Q156" s="8">
        <f>Q75</f>
        <v/>
      </c>
      <c r="R156" s="8">
        <f>R75</f>
        <v/>
      </c>
    </row>
    <row r="157" customFormat="1" s="13">
      <c r="A157" s="12" t="n"/>
      <c r="B157" s="12" t="n"/>
      <c r="C157" s="12" t="n"/>
      <c r="D157" s="13" t="inlineStr">
        <is>
          <t>رسوم تمويل</t>
        </is>
      </c>
      <c r="E157" s="133" t="n">
        <v>0.005</v>
      </c>
      <c r="F157" s="113">
        <f>E156*-E157</f>
        <v/>
      </c>
      <c r="H157" s="8" t="n">
        <v>0</v>
      </c>
      <c r="J157" s="8" t="n"/>
      <c r="K157" s="8" t="n"/>
      <c r="L157" s="8" t="n"/>
      <c r="M157" s="8" t="n"/>
      <c r="N157" s="8" t="n"/>
      <c r="O157" s="8" t="n"/>
      <c r="P157" s="8" t="n"/>
      <c r="Q157" s="8" t="n"/>
      <c r="R157" s="8" t="n"/>
    </row>
    <row r="158" customFormat="1" s="13">
      <c r="A158" s="12" t="n"/>
      <c r="B158" s="12" t="n"/>
      <c r="C158" s="12" t="n"/>
      <c r="D158" s="13" t="inlineStr">
        <is>
          <t xml:space="preserve">سداد </t>
        </is>
      </c>
      <c r="E158" s="121">
        <f>SUM(F158:P158)=-E156</f>
        <v/>
      </c>
      <c r="F158" s="8">
        <f>IF(G$110=$E$141,SUM(F$76:$P76),IF(G$110&lt;$E$141,F76,0))</f>
        <v/>
      </c>
      <c r="G158" s="8">
        <f>G76</f>
        <v/>
      </c>
      <c r="H158" s="8">
        <f>H76</f>
        <v/>
      </c>
      <c r="I158" s="8">
        <f>I76</f>
        <v/>
      </c>
      <c r="J158" s="8">
        <f>J76</f>
        <v/>
      </c>
      <c r="K158" s="8">
        <f>K76</f>
        <v/>
      </c>
      <c r="L158" s="8">
        <f>L76</f>
        <v/>
      </c>
      <c r="M158" s="8">
        <f>M76</f>
        <v/>
      </c>
      <c r="N158" s="8">
        <f>N76</f>
        <v/>
      </c>
      <c r="O158" s="8">
        <f>O76</f>
        <v/>
      </c>
      <c r="P158" s="8">
        <f>P76</f>
        <v/>
      </c>
      <c r="Q158" s="8">
        <f>Q76</f>
        <v/>
      </c>
      <c r="R158" s="8">
        <f>R76</f>
        <v/>
      </c>
    </row>
    <row r="159" customFormat="1" s="13">
      <c r="A159" s="12" t="n"/>
      <c r="B159" s="12" t="n"/>
      <c r="C159" s="12" t="n"/>
      <c r="D159" s="13" t="inlineStr">
        <is>
          <t>مرابحة</t>
        </is>
      </c>
      <c r="E159" s="121" t="n"/>
      <c r="F159" s="8">
        <f>IF(G$110&lt;=$E$141,F78,0)</f>
        <v/>
      </c>
      <c r="G159" s="8">
        <f>G78</f>
        <v/>
      </c>
      <c r="H159" s="8">
        <f>H78</f>
        <v/>
      </c>
      <c r="I159" s="8">
        <f>I78</f>
        <v/>
      </c>
      <c r="J159" s="8">
        <f>J78</f>
        <v/>
      </c>
      <c r="K159" s="8">
        <f>K78</f>
        <v/>
      </c>
      <c r="L159" s="8">
        <f>L78</f>
        <v/>
      </c>
      <c r="M159" s="8">
        <f>M78</f>
        <v/>
      </c>
      <c r="N159" s="8">
        <f>N78</f>
        <v/>
      </c>
      <c r="O159" s="8">
        <f>O78</f>
        <v/>
      </c>
      <c r="P159" s="8">
        <f>P78</f>
        <v/>
      </c>
      <c r="Q159" s="8">
        <f>Q78</f>
        <v/>
      </c>
      <c r="R159" s="8">
        <f>R78</f>
        <v/>
      </c>
    </row>
    <row r="160" customFormat="1" s="13">
      <c r="A160" s="12" t="n"/>
      <c r="B160" s="12" t="n"/>
      <c r="C160" s="12" t="n"/>
      <c r="D160" s="38" t="inlineStr">
        <is>
          <t>صافي الحركة البنكية</t>
        </is>
      </c>
      <c r="E160" s="123" t="n"/>
      <c r="F160" s="39">
        <f>SUM(F156:F159)</f>
        <v/>
      </c>
      <c r="G160" s="39">
        <f>SUM(G156:G159)</f>
        <v/>
      </c>
      <c r="H160" s="39">
        <f>SUM(H156:H159)</f>
        <v/>
      </c>
      <c r="I160" s="39">
        <f>SUM(I156:I159)</f>
        <v/>
      </c>
      <c r="J160" s="39">
        <f>SUM(J156:J159)</f>
        <v/>
      </c>
      <c r="K160" s="39">
        <f>SUM(K156:K159)</f>
        <v/>
      </c>
      <c r="L160" s="39">
        <f>SUM(L156:L159)</f>
        <v/>
      </c>
      <c r="M160" s="39">
        <f>SUM(M156:M159)</f>
        <v/>
      </c>
      <c r="N160" s="39">
        <f>SUM(N156:N159)</f>
        <v/>
      </c>
      <c r="O160" s="39">
        <f>SUM(O156:O159)</f>
        <v/>
      </c>
      <c r="P160" s="39">
        <f>SUM(P156:P159)</f>
        <v/>
      </c>
      <c r="Q160" s="39">
        <f>SUM(Q156:Q159)</f>
        <v/>
      </c>
      <c r="R160" s="39">
        <f>SUM(R156:R159)</f>
        <v/>
      </c>
    </row>
    <row r="161" customFormat="1" s="13">
      <c r="A161" s="12" t="n"/>
      <c r="B161" s="12" t="n"/>
      <c r="C161" s="59" t="inlineStr">
        <is>
          <t>رسوم الشركة المالية ( الحفظ و الإدارة )</t>
        </is>
      </c>
      <c r="D161" s="60" t="n"/>
      <c r="E161" s="120" t="n"/>
      <c r="F161" s="60">
        <f>F$110</f>
        <v/>
      </c>
      <c r="G161" s="60">
        <f>G$110</f>
        <v/>
      </c>
      <c r="H161" s="60">
        <f>H$110</f>
        <v/>
      </c>
      <c r="I161" s="60">
        <f>I$110</f>
        <v/>
      </c>
      <c r="J161" s="60">
        <f>J$110</f>
        <v/>
      </c>
      <c r="K161" s="60">
        <f>K$110</f>
        <v/>
      </c>
      <c r="L161" s="60">
        <f>L$110</f>
        <v/>
      </c>
      <c r="M161" s="60">
        <f>M$110</f>
        <v/>
      </c>
      <c r="N161" s="60">
        <f>N$110</f>
        <v/>
      </c>
      <c r="O161" s="60">
        <f>O$110</f>
        <v/>
      </c>
      <c r="P161" s="60">
        <f>P$110</f>
        <v/>
      </c>
      <c r="Q161" s="60">
        <f>Q$110</f>
        <v/>
      </c>
      <c r="R161" s="60">
        <f>R$110</f>
        <v/>
      </c>
    </row>
    <row r="162" customFormat="1" s="13">
      <c r="A162" s="12" t="n"/>
      <c r="B162" s="12" t="n"/>
      <c r="C162" s="12" t="n"/>
      <c r="D162" s="13" t="inlineStr">
        <is>
          <t>هل يوجد صندوق ؟ ( نعم =1/ لا=0)</t>
        </is>
      </c>
      <c r="E162" s="134" t="n">
        <v>0</v>
      </c>
      <c r="F162" s="8" t="n"/>
      <c r="G162" s="8" t="n"/>
      <c r="H162" s="8" t="n"/>
      <c r="I162" s="8" t="n"/>
      <c r="J162" s="8" t="n"/>
      <c r="K162" s="8" t="n"/>
      <c r="L162" s="8" t="n"/>
      <c r="M162" s="8" t="n"/>
      <c r="N162" s="8" t="n"/>
      <c r="O162" s="8" t="n"/>
      <c r="P162" s="8" t="n"/>
      <c r="Q162" s="8" t="n"/>
      <c r="R162" s="8" t="n"/>
    </row>
    <row r="163" customFormat="1" s="13">
      <c r="A163" s="12" t="n"/>
      <c r="B163" s="12" t="n"/>
      <c r="C163" s="12" t="n"/>
      <c r="D163" s="78" t="inlineStr">
        <is>
          <t>تأسيس الصندوق</t>
        </is>
      </c>
      <c r="E163" s="135" t="n">
        <v>0</v>
      </c>
      <c r="F163" s="113">
        <f>-E163</f>
        <v/>
      </c>
      <c r="H163" s="8" t="n"/>
      <c r="I163" s="8" t="n"/>
      <c r="J163" s="8" t="n"/>
      <c r="K163" s="8" t="n"/>
      <c r="L163" s="8" t="n"/>
      <c r="M163" s="8" t="n"/>
      <c r="N163" s="8" t="n"/>
      <c r="O163" s="8" t="n"/>
      <c r="P163" s="8" t="n"/>
      <c r="Q163" s="8" t="n"/>
      <c r="R163" s="8" t="n"/>
    </row>
    <row r="164" customFormat="1" s="13">
      <c r="A164" s="12" t="n"/>
      <c r="B164" s="12" t="n"/>
      <c r="C164" s="12" t="n"/>
      <c r="D164" s="78" t="inlineStr">
        <is>
          <t>كنسبة من راس المال المستثمر</t>
        </is>
      </c>
      <c r="E164" s="135" t="n">
        <v>0</v>
      </c>
      <c r="F164" s="8" t="n"/>
      <c r="G164" s="8">
        <f>IF(G161&lt;=$E141,-$E164,0)</f>
        <v/>
      </c>
      <c r="H164" s="8">
        <f>IF(H161&lt;=$E141,-$E164,0)</f>
        <v/>
      </c>
      <c r="I164" s="8">
        <f>IF(I161&lt;=$E141,-$E164,0)</f>
        <v/>
      </c>
      <c r="J164" s="8">
        <f>IF(J161&lt;=$E141,-$E164,0)</f>
        <v/>
      </c>
      <c r="K164" s="8">
        <f>IF(K161&lt;=$E141,-$E164,0)</f>
        <v/>
      </c>
      <c r="L164" s="8">
        <f>IF(L161&lt;=$E141,-$E164,0)</f>
        <v/>
      </c>
      <c r="M164" s="8">
        <f>IF(M161&lt;=$E141,-$E164,0)</f>
        <v/>
      </c>
      <c r="N164" s="8">
        <f>IF(N161&lt;=$E141,-$E164,0)</f>
        <v/>
      </c>
      <c r="O164" s="8">
        <f>IF(O161&lt;=$E141,-$E164,0)</f>
        <v/>
      </c>
      <c r="P164" s="8">
        <f>IF(P161&lt;=$E141,-$E164,0)</f>
        <v/>
      </c>
      <c r="Q164" s="8">
        <f>IF(Q161&lt;=$E141,-$E164,0)</f>
        <v/>
      </c>
      <c r="R164" s="8">
        <f>IF(R161&lt;=$E141,-$E164,0)</f>
        <v/>
      </c>
    </row>
    <row r="165" customFormat="1" s="13">
      <c r="A165" s="12" t="n"/>
      <c r="B165" s="12" t="n"/>
      <c r="C165" s="12" t="n"/>
      <c r="D165" s="18" t="inlineStr">
        <is>
          <t>رسوم الشركة المالية</t>
        </is>
      </c>
      <c r="E165" s="136">
        <f>E164/E181</f>
        <v/>
      </c>
      <c r="F165" s="19">
        <f>SUM(F162:F164)</f>
        <v/>
      </c>
      <c r="G165" s="19">
        <f>SUM(G162:G164)</f>
        <v/>
      </c>
      <c r="H165" s="19">
        <f>SUM(H162:H164)</f>
        <v/>
      </c>
      <c r="I165" s="19">
        <f>SUM(I162:I164)</f>
        <v/>
      </c>
      <c r="J165" s="19">
        <f>SUM(J162:J164)</f>
        <v/>
      </c>
      <c r="K165" s="19">
        <f>SUM(K162:K164)</f>
        <v/>
      </c>
      <c r="L165" s="19">
        <f>SUM(L162:L164)</f>
        <v/>
      </c>
      <c r="M165" s="19">
        <f>SUM(M162:M164)</f>
        <v/>
      </c>
      <c r="N165" s="19">
        <f>SUM(N162:N164)</f>
        <v/>
      </c>
      <c r="O165" s="19">
        <f>SUM(O162:O164)</f>
        <v/>
      </c>
      <c r="P165" s="19">
        <f>SUM(P162:P164)</f>
        <v/>
      </c>
      <c r="Q165" s="19">
        <f>SUM(Q162:Q164)</f>
        <v/>
      </c>
      <c r="R165" s="19">
        <f>SUM(R162:R164)</f>
        <v/>
      </c>
    </row>
    <row r="166" customFormat="1" s="13">
      <c r="A166" s="12" t="n"/>
      <c r="B166" s="12" t="n"/>
      <c r="C166" s="23" t="inlineStr">
        <is>
          <t>صافي التدفق النقدي</t>
        </is>
      </c>
      <c r="D166" s="24" t="n"/>
      <c r="E166" s="137">
        <f>SUM(F166:R166)</f>
        <v/>
      </c>
      <c r="F166" s="24">
        <f>SUM(F146,F154,F160,F165)</f>
        <v/>
      </c>
      <c r="G166" s="24">
        <f>SUM(G146,G154,G160,G165)</f>
        <v/>
      </c>
      <c r="H166" s="24">
        <f>SUM(H146,H154,H160,H165)</f>
        <v/>
      </c>
      <c r="I166" s="24">
        <f>SUM(I146,I154,I160,I165)</f>
        <v/>
      </c>
      <c r="J166" s="24">
        <f>SUM(J146,J154,J160,J165)</f>
        <v/>
      </c>
      <c r="K166" s="24">
        <f>SUM(K146,K154,K160,K165)</f>
        <v/>
      </c>
      <c r="L166" s="24">
        <f>SUM(L146,L154,L160,L165)</f>
        <v/>
      </c>
      <c r="M166" s="24">
        <f>SUM(M146,M154,M160,M165)</f>
        <v/>
      </c>
      <c r="N166" s="236">
        <f>SUM(N146,N154,N160,N165)</f>
        <v/>
      </c>
      <c r="O166" s="24">
        <f>SUM(O146,O154,O160,O165)</f>
        <v/>
      </c>
      <c r="P166" s="24">
        <f>SUM(P146,P154,P160,P165)</f>
        <v/>
      </c>
      <c r="Q166" s="24">
        <f>SUM(Q146,Q154,Q160,Q165)</f>
        <v/>
      </c>
      <c r="R166" s="24">
        <f>SUM(R146,R154,R160,R165)</f>
        <v/>
      </c>
    </row>
    <row r="167" customFormat="1" s="13">
      <c r="A167" s="12" t="n"/>
      <c r="B167" s="12" t="n"/>
      <c r="D167" s="13" t="inlineStr">
        <is>
          <t>مدة المشروع</t>
        </is>
      </c>
      <c r="E167" s="95">
        <f>_xlfn.MAXIFS(F155:R155,F166:R166,"&gt;0")</f>
        <v/>
      </c>
      <c r="F167" s="253" t="inlineStr">
        <is>
          <t>صافي الإيجار السنوي (بعد الصيانة والتشغيل)</t>
        </is>
      </c>
      <c r="G167" s="254" t="n"/>
      <c r="H167" s="254" t="n"/>
      <c r="I167" s="254" t="n"/>
      <c r="J167" s="255">
        <f>MAX(F139:R139)</f>
        <v/>
      </c>
      <c r="K167" s="256" t="n"/>
      <c r="L167" s="257" t="inlineStr">
        <is>
          <t>استرداد رأس المال - من بدء التشغيل</t>
        </is>
      </c>
      <c r="M167" s="258" t="n"/>
      <c r="N167" s="258" t="n"/>
      <c r="O167" s="258" t="n"/>
      <c r="P167" s="258" t="n"/>
      <c r="Q167" s="259">
        <f>-SUMIF(F166:R166,"&lt;0")/J167</f>
        <v/>
      </c>
      <c r="R167" s="256" t="n"/>
    </row>
    <row r="168" customFormat="1" s="13">
      <c r="A168" s="12" t="n"/>
      <c r="B168" s="12" t="n"/>
      <c r="C168" s="29" t="n"/>
      <c r="D168" s="29" t="inlineStr">
        <is>
          <t>حجم الاستثمار</t>
        </is>
      </c>
      <c r="E168" s="92">
        <f>G61</f>
        <v/>
      </c>
      <c r="F168" s="257" t="inlineStr">
        <is>
          <t>العائد السنوي من التأجير ÷ تكلفة المشروع</t>
        </is>
      </c>
      <c r="G168" s="258" t="n"/>
      <c r="H168" s="258" t="n"/>
      <c r="I168" s="258" t="n"/>
      <c r="J168" s="260">
        <f>J167/E168</f>
        <v/>
      </c>
      <c r="K168" s="256" t="n"/>
      <c r="L168" s="253" t="inlineStr">
        <is>
          <t>استرداد رأس المال - من تاريخ شراء الأرض</t>
        </is>
      </c>
      <c r="M168" s="254" t="n"/>
      <c r="N168" s="254" t="n"/>
      <c r="O168" s="254" t="n"/>
      <c r="P168" s="254" t="n"/>
      <c r="Q168" s="261">
        <f>Q167+_xlfn.MINIFS(F110:R110,F166:R166,"&gt;0")-1</f>
        <v/>
      </c>
      <c r="R168" s="256" t="n"/>
    </row>
    <row r="169" customFormat="1" s="13">
      <c r="A169" s="12" t="n"/>
      <c r="B169" s="12" t="n"/>
      <c r="D169" s="13" t="inlineStr">
        <is>
          <t>هامش الربح الكلي</t>
        </is>
      </c>
      <c r="E169" s="93">
        <f>E166/E168</f>
        <v/>
      </c>
      <c r="F169" s="253" t="inlineStr">
        <is>
          <t>معدل الرسملة عند البيع (Cap Rate) - مدخل</t>
        </is>
      </c>
      <c r="G169" s="254" t="n"/>
      <c r="H169" s="254" t="n"/>
      <c r="I169" s="254" t="n"/>
      <c r="J169" s="262" t="n">
        <v>0.1</v>
      </c>
      <c r="K169" s="256" t="n"/>
      <c r="L169" s="253" t="inlineStr">
        <is>
          <t>سنة إعادة البيع (من شراء الأرض) - مدخل</t>
        </is>
      </c>
      <c r="M169" s="254" t="n"/>
      <c r="N169" s="254" t="n"/>
      <c r="O169" s="254" t="n"/>
      <c r="P169" s="254" t="n"/>
      <c r="Q169" s="263" t="n">
        <v>6</v>
      </c>
      <c r="R169" s="256" t="n"/>
    </row>
    <row r="170" customFormat="1" s="13">
      <c r="A170" s="12" t="n"/>
      <c r="B170" s="12" t="n"/>
      <c r="C170" s="63" t="n"/>
      <c r="D170" s="63" t="inlineStr">
        <is>
          <t>هامش الربح السنوي للمشروع - ROI - قبل حافز الأداء</t>
        </is>
      </c>
      <c r="E170" s="233">
        <f>E169/E167</f>
        <v/>
      </c>
      <c r="F170" s="257" t="inlineStr">
        <is>
          <t>قيمة إعادة بيع المشروع = صافي الإيجار ÷ معدل الرسملة</t>
        </is>
      </c>
      <c r="G170" s="258" t="n"/>
      <c r="H170" s="258" t="n"/>
      <c r="I170" s="258" t="n"/>
      <c r="J170" s="264">
        <f>J167/J169</f>
        <v/>
      </c>
      <c r="K170" s="256" t="n"/>
      <c r="L170" s="253" t="inlineStr">
        <is>
          <t>صافي الربح عند البيع (إيجار + بيع - تكلفة)</t>
        </is>
      </c>
      <c r="M170" s="254" t="n"/>
      <c r="N170" s="254" t="n"/>
      <c r="O170" s="254" t="n"/>
      <c r="P170" s="254" t="n"/>
      <c r="Q170" s="255">
        <f>SUMPRODUCT((F110:R110&lt;=Q169)*F166:R166)+J170</f>
        <v/>
      </c>
      <c r="R170" s="256" t="n"/>
    </row>
    <row r="171" customFormat="1" s="13">
      <c r="A171" s="12" t="n"/>
      <c r="B171" s="12" t="n"/>
      <c r="C171" s="63" t="n"/>
      <c r="D171" s="63" t="inlineStr">
        <is>
          <t>معدل العائد الداخلي للمشروع - IRR - قبل حافز الأداء</t>
        </is>
      </c>
      <c r="E171" s="233">
        <f>IRR(F166:N166)</f>
        <v/>
      </c>
      <c r="F171" s="253" t="inlineStr">
        <is>
          <t>الربح الرأسمالي عند البيع (قيمة البيع - التكلفة)</t>
        </is>
      </c>
      <c r="G171" s="254" t="n"/>
      <c r="H171" s="254" t="n"/>
      <c r="I171" s="254" t="n"/>
      <c r="J171" s="255">
        <f>J170-E168</f>
        <v/>
      </c>
      <c r="K171" s="256" t="n"/>
      <c r="L171" s="257" t="inlineStr">
        <is>
          <t>معدل العائد الداخلي IRR - عند البيع</t>
        </is>
      </c>
      <c r="M171" s="258" t="n"/>
      <c r="N171" s="258" t="n"/>
      <c r="O171" s="258" t="n"/>
      <c r="P171" s="258" t="n"/>
      <c r="Q171" s="260">
        <f t="array" ref="Q171">IRR(IF(F110:R110&lt;=Q169,F166:R166,0)+IF(F110:R110=Q169,J170,0))</f>
        <v/>
      </c>
      <c r="R171" s="256" t="n"/>
    </row>
    <row r="172" customFormat="1" s="13">
      <c r="A172" s="12" t="n"/>
      <c r="B172" s="12" t="n"/>
      <c r="C172" s="12" t="n"/>
      <c r="D172" s="13" t="inlineStr">
        <is>
          <t>نسبة السحب</t>
        </is>
      </c>
      <c r="E172" s="130">
        <f>SUM(F172:R172)</f>
        <v/>
      </c>
      <c r="F172" s="8" t="n"/>
      <c r="G172" s="192" t="n">
        <v>0</v>
      </c>
      <c r="H172" s="210" t="n">
        <v>0</v>
      </c>
      <c r="I172" s="192" t="n">
        <v>0</v>
      </c>
      <c r="J172" s="20" t="n">
        <v>0</v>
      </c>
      <c r="K172" s="20" t="n">
        <v>0</v>
      </c>
      <c r="L172" s="20" t="n">
        <v>0</v>
      </c>
      <c r="M172" s="20" t="n">
        <v>0</v>
      </c>
      <c r="N172" s="20" t="n">
        <v>0</v>
      </c>
      <c r="O172" s="20" t="n">
        <v>0</v>
      </c>
      <c r="P172" s="20" t="n">
        <v>0</v>
      </c>
      <c r="Q172" s="20" t="n">
        <v>0</v>
      </c>
      <c r="R172" s="20" t="n">
        <v>0</v>
      </c>
    </row>
    <row r="173" customFormat="1" s="13">
      <c r="A173" s="12" t="n"/>
      <c r="B173" s="12" t="n"/>
      <c r="C173" s="40" t="n"/>
      <c r="D173" s="25" t="inlineStr">
        <is>
          <t>نسبة القسط</t>
        </is>
      </c>
      <c r="E173" s="138">
        <f>SUM(F173:R173)</f>
        <v/>
      </c>
      <c r="F173" s="26" t="n"/>
      <c r="G173" s="30" t="n">
        <v>0</v>
      </c>
      <c r="H173" s="30" t="n">
        <v>0</v>
      </c>
      <c r="I173" s="30" t="n">
        <v>0</v>
      </c>
      <c r="J173" s="30" t="n">
        <v>0</v>
      </c>
      <c r="K173" s="30" t="n">
        <v>0</v>
      </c>
      <c r="L173" s="30" t="n">
        <v>0</v>
      </c>
      <c r="M173" s="30" t="n">
        <v>0</v>
      </c>
      <c r="N173" s="30" t="n">
        <v>0</v>
      </c>
      <c r="O173" s="30" t="n">
        <v>0</v>
      </c>
      <c r="P173" s="30" t="n">
        <v>0</v>
      </c>
      <c r="Q173" s="30" t="n">
        <v>0</v>
      </c>
      <c r="R173" s="30" t="n">
        <v>0</v>
      </c>
    </row>
    <row r="174" hidden="1" customFormat="1" s="13">
      <c r="A174" s="12" t="n"/>
      <c r="B174" s="12" t="n"/>
      <c r="C174" s="12" t="n"/>
      <c r="E174" s="21" t="n"/>
      <c r="F174" s="69" t="n"/>
      <c r="G174" s="20" t="n"/>
      <c r="H174" s="20" t="n"/>
      <c r="I174" s="20" t="n"/>
      <c r="J174" s="20" t="n"/>
      <c r="K174" s="20" t="n"/>
      <c r="L174" s="20" t="n"/>
      <c r="M174" s="20" t="n"/>
      <c r="N174" s="20" t="n"/>
      <c r="O174" s="20" t="n"/>
      <c r="P174" s="20" t="n"/>
      <c r="Q174" s="20" t="n"/>
      <c r="R174" s="20" t="n"/>
    </row>
    <row r="175" hidden="1" customFormat="1" s="13">
      <c r="A175" s="12" t="n"/>
      <c r="B175" s="12" t="n"/>
      <c r="C175" s="12" t="n"/>
      <c r="E175" s="21" t="n"/>
      <c r="F175" s="69" t="n"/>
      <c r="G175" s="8" t="n"/>
      <c r="H175" s="8" t="n"/>
      <c r="I175" s="8" t="n"/>
      <c r="J175" s="20" t="n"/>
      <c r="K175" s="20" t="n"/>
      <c r="L175" s="20" t="n"/>
      <c r="M175" s="20" t="n"/>
      <c r="N175" s="20" t="n"/>
      <c r="O175" s="20" t="n"/>
      <c r="P175" s="20" t="n"/>
      <c r="Q175" s="20" t="n"/>
      <c r="R175" s="20" t="n"/>
    </row>
    <row r="176" hidden="1" customFormat="1" s="13">
      <c r="A176" s="9" t="inlineStr">
        <is>
          <t>خامسا | حساب راس المال المستثمر</t>
        </is>
      </c>
      <c r="B176" s="9" t="n"/>
      <c r="C176" s="9" t="n"/>
      <c r="D176" s="10" t="n"/>
      <c r="E176" s="11" t="n"/>
      <c r="F176" s="11" t="n"/>
      <c r="G176" s="11" t="n"/>
      <c r="H176" s="11" t="n"/>
      <c r="I176" s="11" t="n"/>
      <c r="J176" s="11" t="n"/>
      <c r="K176" s="11" t="n"/>
      <c r="L176" s="11" t="n"/>
      <c r="M176" s="11" t="n"/>
      <c r="N176" s="11" t="n"/>
      <c r="O176" s="11" t="n"/>
      <c r="P176" s="11" t="n"/>
      <c r="Q176" s="11" t="n"/>
      <c r="R176" s="11" t="n"/>
      <c r="S176" s="11" t="n"/>
      <c r="T176" s="11" t="n"/>
      <c r="U176" s="11" t="n"/>
      <c r="V176" s="11" t="n"/>
      <c r="W176" s="11" t="n"/>
      <c r="X176" s="11" t="n"/>
      <c r="Y176" s="11" t="n"/>
      <c r="Z176" s="11" t="n"/>
      <c r="AA176" s="11" t="inlineStr"/>
    </row>
    <row r="177" hidden="1" customFormat="1" s="13">
      <c r="A177" s="12" t="n"/>
      <c r="B177" s="12" t="n"/>
      <c r="C177" s="12" t="inlineStr">
        <is>
          <t>النقد المطلوب</t>
        </is>
      </c>
    </row>
    <row r="178" hidden="1" customFormat="1" s="13">
      <c r="A178" s="12" t="n"/>
      <c r="B178" s="12" t="n"/>
      <c r="C178" s="12" t="n"/>
      <c r="D178" s="36" t="inlineStr">
        <is>
          <t>العام</t>
        </is>
      </c>
      <c r="E178" s="37" t="inlineStr">
        <is>
          <t>مساعد</t>
        </is>
      </c>
      <c r="F178" s="37" t="n">
        <v>0</v>
      </c>
      <c r="G178" s="37">
        <f>F178+1</f>
        <v/>
      </c>
      <c r="H178" s="37">
        <f>G178+1</f>
        <v/>
      </c>
      <c r="I178" s="37">
        <f>H178+1</f>
        <v/>
      </c>
      <c r="J178" s="37">
        <f>I178+1</f>
        <v/>
      </c>
      <c r="K178" s="37">
        <f>J178+1</f>
        <v/>
      </c>
      <c r="L178" s="37">
        <f>K178+1</f>
        <v/>
      </c>
      <c r="M178" s="37">
        <f>L178+1</f>
        <v/>
      </c>
      <c r="N178" s="37">
        <f>M178+1</f>
        <v/>
      </c>
      <c r="O178" s="37">
        <f>N178+1</f>
        <v/>
      </c>
      <c r="P178" s="37">
        <f>O178+1</f>
        <v/>
      </c>
      <c r="Q178" s="37">
        <f>P178+1</f>
        <v/>
      </c>
      <c r="R178" s="37">
        <f>Q178+1</f>
        <v/>
      </c>
    </row>
    <row r="179" hidden="1" customFormat="1" s="13">
      <c r="A179" s="12" t="n"/>
      <c r="B179" s="12" t="n"/>
      <c r="C179" s="12" t="n"/>
      <c r="D179" s="13" t="inlineStr">
        <is>
          <t>رصيد النقد اول المدة</t>
        </is>
      </c>
      <c r="E179" s="8">
        <f>E141</f>
        <v/>
      </c>
      <c r="F179" s="8" t="n">
        <v>0</v>
      </c>
      <c r="G179" s="8">
        <f>F182</f>
        <v/>
      </c>
      <c r="H179" s="8">
        <f>G182</f>
        <v/>
      </c>
      <c r="I179" s="8">
        <f>H182</f>
        <v/>
      </c>
      <c r="J179" s="8">
        <f>I182</f>
        <v/>
      </c>
      <c r="K179" s="8">
        <f>J182</f>
        <v/>
      </c>
      <c r="L179" s="8">
        <f>K182</f>
        <v/>
      </c>
      <c r="M179" s="8">
        <f>L182</f>
        <v/>
      </c>
      <c r="N179" s="8">
        <f>M182</f>
        <v/>
      </c>
      <c r="O179" s="8">
        <f>N182</f>
        <v/>
      </c>
      <c r="P179" s="8">
        <f>O182</f>
        <v/>
      </c>
      <c r="Q179" s="8">
        <f>P182</f>
        <v/>
      </c>
      <c r="R179" s="8">
        <f>Q182</f>
        <v/>
      </c>
    </row>
    <row r="180" hidden="1" customFormat="1" s="13">
      <c r="A180" s="12" t="n"/>
      <c r="B180" s="12" t="n"/>
      <c r="C180" s="12" t="n"/>
      <c r="D180" s="13" t="inlineStr">
        <is>
          <t>صافي نقد الفترة</t>
        </is>
      </c>
      <c r="E180" s="8" t="n"/>
      <c r="F180" s="8">
        <f>F166</f>
        <v/>
      </c>
      <c r="G180" s="8">
        <f>G166</f>
        <v/>
      </c>
      <c r="H180" s="8">
        <f>H166</f>
        <v/>
      </c>
      <c r="I180" s="8">
        <f>I166</f>
        <v/>
      </c>
      <c r="J180" s="8">
        <f>J166</f>
        <v/>
      </c>
      <c r="K180" s="8">
        <f>K166</f>
        <v/>
      </c>
      <c r="L180" s="8">
        <f>L166</f>
        <v/>
      </c>
      <c r="M180" s="8">
        <f>M166</f>
        <v/>
      </c>
      <c r="N180" s="8">
        <f>N166</f>
        <v/>
      </c>
      <c r="O180" s="8">
        <f>O166</f>
        <v/>
      </c>
      <c r="P180" s="8">
        <f>P166</f>
        <v/>
      </c>
      <c r="Q180" s="8">
        <f>Q166</f>
        <v/>
      </c>
      <c r="R180" s="8">
        <f>R166</f>
        <v/>
      </c>
    </row>
    <row r="181" hidden="1" customFormat="1" s="13">
      <c r="A181" s="12" t="n"/>
      <c r="B181" s="12" t="n"/>
      <c r="C181" s="12" t="n"/>
      <c r="D181" s="18" t="inlineStr">
        <is>
          <t>النقد المطلوب</t>
        </is>
      </c>
      <c r="E181" s="139">
        <f>SUM(F181:P181)</f>
        <v/>
      </c>
      <c r="F181" s="19">
        <f>IF(-F166&gt;F179,-SUM(F166,F179),0)</f>
        <v/>
      </c>
      <c r="G181" s="19">
        <f>IF(-G166&gt;G179,-SUM(G166,G179),0)</f>
        <v/>
      </c>
      <c r="H181" s="19">
        <f>IF(-H166&gt;H179,-SUM(H166,H179),0)</f>
        <v/>
      </c>
      <c r="I181" s="19">
        <f>IF(-I166&gt;I179,-SUM(I166,I179),0)</f>
        <v/>
      </c>
      <c r="J181" s="19">
        <f>IF(-J166&gt;J179,-SUM(J166,J179),0)</f>
        <v/>
      </c>
      <c r="K181" s="19">
        <f>IF(-K166&gt;K179,-SUM(K166,K179),0)</f>
        <v/>
      </c>
      <c r="L181" s="19">
        <f>IF(-L166&gt;L179,-SUM(L166,L179),0)</f>
        <v/>
      </c>
      <c r="M181" s="19">
        <f>IF(-M166&gt;M179,-SUM(M166,M179),0)</f>
        <v/>
      </c>
      <c r="N181" s="19">
        <f>IF(-N166&gt;N179,-SUM(N166,N179),0)</f>
        <v/>
      </c>
      <c r="O181" s="19">
        <f>IF(-O166&gt;O179,-SUM(O166,O179),0)</f>
        <v/>
      </c>
      <c r="P181" s="19">
        <f>IF(-P166&gt;P179,-SUM(P166,P179),0)</f>
        <v/>
      </c>
      <c r="Q181" s="19">
        <f>IF(-Q166&gt;Q179,-SUM(Q166,Q179),0)</f>
        <v/>
      </c>
      <c r="R181" s="19">
        <f>IF(-R166&gt;R179,-SUM(R166,R179),0)</f>
        <v/>
      </c>
    </row>
    <row r="182" hidden="1" s="241">
      <c r="D182" s="29" t="inlineStr">
        <is>
          <t>رصيد اخر المدة</t>
        </is>
      </c>
      <c r="E182" s="72" t="n"/>
      <c r="F182" s="72">
        <f>SUM(F179:F181)</f>
        <v/>
      </c>
      <c r="G182" s="72">
        <f>SUM(G179:G181)</f>
        <v/>
      </c>
      <c r="H182" s="72">
        <f>SUM(H179:H181)</f>
        <v/>
      </c>
      <c r="I182" s="72">
        <f>SUM(I179:I181)</f>
        <v/>
      </c>
      <c r="J182" s="72">
        <f>SUM(J179:J181)</f>
        <v/>
      </c>
      <c r="K182" s="72">
        <f>SUM(K179:K181)</f>
        <v/>
      </c>
      <c r="L182" s="72">
        <f>SUM(L179:L181)</f>
        <v/>
      </c>
      <c r="M182" s="72">
        <f>SUM(M179:M181)</f>
        <v/>
      </c>
      <c r="N182" s="72">
        <f>SUM(N179:N181)</f>
        <v/>
      </c>
      <c r="O182" s="72">
        <f>SUM(O179:O181)</f>
        <v/>
      </c>
      <c r="P182" s="72">
        <f>SUM(P179:P181)</f>
        <v/>
      </c>
      <c r="Q182" s="72">
        <f>SUM(Q179:Q181)</f>
        <v/>
      </c>
      <c r="R182" s="72">
        <f>SUM(R179:R181)</f>
        <v/>
      </c>
    </row>
    <row r="183" hidden="1" s="241">
      <c r="C183" s="8" t="n"/>
      <c r="D183" s="88" t="inlineStr">
        <is>
          <t>فترة ضخ المساهمين</t>
        </is>
      </c>
      <c r="E183" s="89">
        <f>MAX(F183:P183)</f>
        <v/>
      </c>
      <c r="F183" s="89">
        <f>IF(F181&gt;0,F178,0)</f>
        <v/>
      </c>
      <c r="G183" s="89">
        <f>IF(G181&gt;0,G178,0)</f>
        <v/>
      </c>
      <c r="H183" s="89">
        <f>IF(H181&gt;0,H178,0)</f>
        <v/>
      </c>
      <c r="I183" s="89">
        <f>IF(I181&gt;0,I178,0)</f>
        <v/>
      </c>
      <c r="J183" s="89">
        <f>IF(J181&gt;0,J178,0)</f>
        <v/>
      </c>
      <c r="K183" s="89">
        <f>IF(K181&gt;0,K178,0)</f>
        <v/>
      </c>
      <c r="L183" s="89">
        <f>IF(L181&gt;0,L178,0)</f>
        <v/>
      </c>
      <c r="M183" s="89">
        <f>IF(M181&gt;0,M178,0)</f>
        <v/>
      </c>
      <c r="N183" s="89">
        <f>IF(N181&gt;0,N178,0)</f>
        <v/>
      </c>
      <c r="O183" s="89">
        <f>IF(O181&gt;0,O178,0)</f>
        <v/>
      </c>
      <c r="P183" s="89">
        <f>IF(P181&gt;0,P178,0)</f>
        <v/>
      </c>
      <c r="Q183" s="89">
        <f>IF(Q181&gt;0,Q178,0)</f>
        <v/>
      </c>
      <c r="R183" s="89">
        <f>IF(R181&gt;0,R178,0)</f>
        <v/>
      </c>
    </row>
    <row r="184" hidden="1" s="241">
      <c r="C184" s="12" t="inlineStr">
        <is>
          <t>حجم الاستثمار</t>
        </is>
      </c>
    </row>
    <row r="185" hidden="1" s="241">
      <c r="D185" s="36" t="inlineStr">
        <is>
          <t>العام</t>
        </is>
      </c>
      <c r="E185" s="37" t="inlineStr">
        <is>
          <t>مساعد</t>
        </is>
      </c>
      <c r="F185" s="37" t="n">
        <v>0</v>
      </c>
      <c r="G185" s="37">
        <f>F185+1</f>
        <v/>
      </c>
      <c r="H185" s="37">
        <f>G185+1</f>
        <v/>
      </c>
      <c r="I185" s="37">
        <f>H185+1</f>
        <v/>
      </c>
      <c r="J185" s="37">
        <f>I185+1</f>
        <v/>
      </c>
      <c r="K185" s="37">
        <f>J185+1</f>
        <v/>
      </c>
      <c r="L185" s="37">
        <f>K185+1</f>
        <v/>
      </c>
      <c r="M185" s="37">
        <f>L185+1</f>
        <v/>
      </c>
      <c r="N185" s="37">
        <f>M185+1</f>
        <v/>
      </c>
      <c r="O185" s="37">
        <f>N185+1</f>
        <v/>
      </c>
      <c r="P185" s="37">
        <f>O185+1</f>
        <v/>
      </c>
      <c r="Q185" s="37">
        <f>P185+1</f>
        <v/>
      </c>
      <c r="R185" s="37">
        <f>Q185+1</f>
        <v/>
      </c>
    </row>
    <row r="186" hidden="1" customFormat="1" s="34">
      <c r="A186" s="57" t="n"/>
      <c r="B186" s="57" t="n"/>
      <c r="C186" s="57" t="n"/>
      <c r="D186" s="81" t="inlineStr">
        <is>
          <t>فترة التطوير</t>
        </is>
      </c>
      <c r="E186" s="70">
        <f>SUM(F186:P186)</f>
        <v/>
      </c>
      <c r="F186" s="140" t="n"/>
      <c r="G186" s="70">
        <f>IF(G151&gt;0,1,0)</f>
        <v/>
      </c>
      <c r="H186" s="70">
        <f>IF(H151&gt;0,1,0)</f>
        <v/>
      </c>
      <c r="I186" s="70">
        <f>IF(I151&gt;0,1,0)</f>
        <v/>
      </c>
      <c r="J186" s="70">
        <f>IF(J151&gt;0,1,0)</f>
        <v/>
      </c>
      <c r="K186" s="70">
        <f>IF(K151&gt;0,1,0)</f>
        <v/>
      </c>
      <c r="L186" s="70">
        <f>IF(L151&gt;0,1,0)</f>
        <v/>
      </c>
      <c r="M186" s="70">
        <f>IF(M151&gt;0,1,0)</f>
        <v/>
      </c>
      <c r="N186" s="70">
        <f>IF(N151&gt;0,1,0)</f>
        <v/>
      </c>
      <c r="O186" s="70">
        <f>IF(O151&gt;0,1,0)</f>
        <v/>
      </c>
      <c r="P186" s="70">
        <f>IF(P151&gt;0,1,0)</f>
        <v/>
      </c>
      <c r="Q186" s="70">
        <f>IF(Q151&gt;0,1,0)</f>
        <v/>
      </c>
      <c r="R186" s="70">
        <f>IF(R151&gt;0,1,0)</f>
        <v/>
      </c>
    </row>
    <row r="187" hidden="1" customFormat="1" s="34">
      <c r="A187" s="57" t="n"/>
      <c r="B187" s="57" t="n"/>
      <c r="C187" s="57" t="n"/>
      <c r="D187" s="13" t="inlineStr">
        <is>
          <t>عام البيع</t>
        </is>
      </c>
      <c r="E187" s="8">
        <f>E141</f>
        <v/>
      </c>
      <c r="F187" s="16" t="n"/>
      <c r="G187" s="8">
        <f>IF(G185=$E187,1,0)</f>
        <v/>
      </c>
      <c r="H187" s="8">
        <f>IF(H185=$E187,1,0)</f>
        <v/>
      </c>
      <c r="I187" s="8">
        <f>IF(I185=$E187,1,0)</f>
        <v/>
      </c>
      <c r="J187" s="8">
        <f>IF(J185=$E187,1,0)</f>
        <v/>
      </c>
      <c r="K187" s="8">
        <f>IF(K185=$E187,1,0)</f>
        <v/>
      </c>
      <c r="L187" s="8">
        <f>IF(L185=$E187,1,0)</f>
        <v/>
      </c>
      <c r="M187" s="8">
        <f>IF(M185=$E187,1,0)</f>
        <v/>
      </c>
      <c r="N187" s="8">
        <f>IF(N185=$E187,1,0)</f>
        <v/>
      </c>
      <c r="O187" s="8">
        <f>IF(O185=$E187,1,0)</f>
        <v/>
      </c>
      <c r="P187" s="8">
        <f>IF(P185=$E187,1,0)</f>
        <v/>
      </c>
      <c r="Q187" s="8">
        <f>IF(Q185=$E187,1,0)</f>
        <v/>
      </c>
      <c r="R187" s="8">
        <f>IF(R185=$E187,1,0)</f>
        <v/>
      </c>
    </row>
    <row r="188" hidden="1" customFormat="1" s="34">
      <c r="A188" s="57" t="n"/>
      <c r="B188" s="57" t="n"/>
      <c r="C188" s="57" t="n"/>
      <c r="D188" s="86" t="inlineStr">
        <is>
          <t>رأس المال المستثمر</t>
        </is>
      </c>
      <c r="E188" s="8">
        <f>SUM(F188:P188)</f>
        <v/>
      </c>
      <c r="F188" s="34">
        <f>F181</f>
        <v/>
      </c>
      <c r="G188" s="34">
        <f>G186*G181</f>
        <v/>
      </c>
      <c r="H188" s="34">
        <f>H186*H181</f>
        <v/>
      </c>
      <c r="I188" s="34">
        <f>I186*I181</f>
        <v/>
      </c>
      <c r="J188" s="34">
        <f>J186*J181</f>
        <v/>
      </c>
      <c r="K188" s="34">
        <f>K186*K181</f>
        <v/>
      </c>
      <c r="L188" s="34">
        <f>L186*L181</f>
        <v/>
      </c>
      <c r="M188" s="34">
        <f>M186*M181</f>
        <v/>
      </c>
      <c r="N188" s="34">
        <f>N186*N181</f>
        <v/>
      </c>
      <c r="O188" s="34">
        <f>O186*O181</f>
        <v/>
      </c>
      <c r="P188" s="34">
        <f>P186*P181</f>
        <v/>
      </c>
      <c r="Q188" s="34">
        <f>Q186*Q181</f>
        <v/>
      </c>
      <c r="R188" s="34">
        <f>R186*R181</f>
        <v/>
      </c>
    </row>
    <row r="189" hidden="1" customFormat="1" s="34">
      <c r="A189" s="57" t="n"/>
      <c r="B189" s="57" t="n"/>
      <c r="C189" s="57" t="n"/>
      <c r="D189" s="86" t="inlineStr">
        <is>
          <t>استثمار اول المدة بعام التخارج فترة التطوير</t>
        </is>
      </c>
      <c r="E189" s="8">
        <f>-SUM(F189:P189)</f>
        <v/>
      </c>
      <c r="G189" s="34">
        <f>(G151+G156)*G187*G186</f>
        <v/>
      </c>
      <c r="H189" s="34">
        <f>(H151+H156)*H187*H186</f>
        <v/>
      </c>
      <c r="I189" s="34">
        <f>(I151+I156)*I187*I186</f>
        <v/>
      </c>
      <c r="J189" s="34">
        <f>(J151+J156)*J187*J186</f>
        <v/>
      </c>
      <c r="K189" s="34">
        <f>(K151+K156)*K187*K186</f>
        <v/>
      </c>
      <c r="L189" s="34">
        <f>(L151+L156)*L187*L186</f>
        <v/>
      </c>
      <c r="M189" s="34">
        <f>(M151+M156)*M187*M186</f>
        <v/>
      </c>
      <c r="N189" s="34">
        <f>(N151+N156)*N187*N186</f>
        <v/>
      </c>
      <c r="O189" s="34">
        <f>(O151+O156)*O187*O186</f>
        <v/>
      </c>
      <c r="P189" s="34">
        <f>(P151+P156)*P187*P186</f>
        <v/>
      </c>
      <c r="Q189" s="34">
        <f>(Q151+Q156)*Q187*Q186</f>
        <v/>
      </c>
      <c r="R189" s="34">
        <f>(R151+R156)*R187*R186</f>
        <v/>
      </c>
    </row>
    <row r="190" hidden="1" customFormat="1" s="34">
      <c r="A190" s="57" t="n"/>
      <c r="B190" s="57" t="n"/>
      <c r="C190" s="57" t="n"/>
      <c r="D190" s="86" t="inlineStr">
        <is>
          <t>خسائر فترة التشغيل</t>
        </is>
      </c>
      <c r="E190" s="8">
        <f>SUM(F190:P190)</f>
        <v/>
      </c>
      <c r="G190" s="34">
        <f>IF(AND(G186=0,G166&lt;0),-G166,0)</f>
        <v/>
      </c>
      <c r="H190" s="34">
        <f>IF(AND(H186=0,H166&lt;0),-H166,0)</f>
        <v/>
      </c>
      <c r="I190" s="34">
        <f>IF(AND(I186=0,I166&lt;0),-I166,0)</f>
        <v/>
      </c>
      <c r="J190" s="34">
        <f>IF(AND(J186=0,J166&lt;0),-J166,0)</f>
        <v/>
      </c>
      <c r="K190" s="34">
        <f>IF(AND(K186=0,K166&lt;0),-K166,0)</f>
        <v/>
      </c>
      <c r="L190" s="34">
        <f>IF(AND(L186=0,L166&lt;0),-L166,0)</f>
        <v/>
      </c>
      <c r="M190" s="34">
        <f>IF(AND(M186=0,M166&lt;0),-M166,0)</f>
        <v/>
      </c>
      <c r="N190" s="34">
        <f>IF(AND(N186=0,N166&lt;0),-N166,0)</f>
        <v/>
      </c>
      <c r="O190" s="34">
        <f>IF(AND(O186=0,O166&lt;0),-O166,0)</f>
        <v/>
      </c>
      <c r="P190" s="34">
        <f>IF(AND(P186=0,P166&lt;0),-P166,0)</f>
        <v/>
      </c>
      <c r="Q190" s="34">
        <f>IF(AND(Q186=0,Q166&lt;0),-Q166,0)</f>
        <v/>
      </c>
      <c r="R190" s="34">
        <f>IF(AND(R186=0,R166&lt;0),-R166,0)</f>
        <v/>
      </c>
    </row>
    <row r="191" hidden="1" customFormat="1" s="34">
      <c r="A191" s="57" t="n"/>
      <c r="B191" s="57" t="n"/>
      <c r="C191" s="57" t="n"/>
      <c r="D191" s="141" t="inlineStr">
        <is>
          <t>فائض النقد فترة التطوير</t>
        </is>
      </c>
      <c r="E191" s="64" t="n">
        <v>0</v>
      </c>
      <c r="F191" s="65">
        <f>IF(F178=$E$141,0,IF(($E186-1)=F178,F182,0))</f>
        <v/>
      </c>
      <c r="G191" s="65">
        <f>IF(AND(G186=1,G185=$E186),G182,0)</f>
        <v/>
      </c>
      <c r="H191" s="65">
        <f>IF(AND(H186=1,H185=$E186),H182,0)</f>
        <v/>
      </c>
      <c r="I191" s="65">
        <f>IF(AND(I186=1,I185=$E186),I182,0)</f>
        <v/>
      </c>
      <c r="J191" s="65">
        <f>IF(AND(J186=1,J185=$E186),J182,0)</f>
        <v/>
      </c>
      <c r="K191" s="65">
        <f>IF(AND(K186=1,K185=$E186),K182,0)</f>
        <v/>
      </c>
      <c r="L191" s="65">
        <f>IF(AND(L186=1,L185=$E186),L182,0)</f>
        <v/>
      </c>
      <c r="M191" s="65">
        <f>IF(AND(M186=1,M185=$E186),M182,0)</f>
        <v/>
      </c>
      <c r="N191" s="65">
        <f>IF(AND(N186=1,N185=$E186),N182,0)</f>
        <v/>
      </c>
      <c r="O191" s="65">
        <f>IF(AND(O186=1,O185=$E186),O182,0)</f>
        <v/>
      </c>
      <c r="P191" s="65">
        <f>IF(AND(P186=1,P185=$E186),P182,0)</f>
        <v/>
      </c>
      <c r="Q191" s="65">
        <f>IF(AND(Q186=1,Q185=$E186),Q182,0)</f>
        <v/>
      </c>
      <c r="R191" s="65">
        <f>IF(AND(R186=1,R185=$E186),R182,0)</f>
        <v/>
      </c>
    </row>
    <row r="192" hidden="1" s="241">
      <c r="D192" s="68" t="inlineStr">
        <is>
          <t>حجم الاستثمار</t>
        </is>
      </c>
      <c r="E192" s="142">
        <f>SUM(E188:E190,-E191)</f>
        <v/>
      </c>
      <c r="F192" s="143" t="n"/>
    </row>
    <row r="193" hidden="1" s="241"/>
    <row r="194" hidden="1" s="241"/>
    <row r="195" hidden="1" customFormat="1" s="13">
      <c r="A195" s="9" t="inlineStr">
        <is>
          <t>سادسا | حساب حافز الأداء - وهوامش الربحية بعد خصم حافز الأداء</t>
        </is>
      </c>
      <c r="B195" s="9" t="n"/>
      <c r="C195" s="9" t="n"/>
      <c r="D195" s="10" t="n"/>
      <c r="E195" s="11" t="n"/>
      <c r="F195" s="11" t="n"/>
      <c r="G195" s="11" t="n"/>
      <c r="H195" s="11" t="n"/>
      <c r="I195" s="11" t="n"/>
      <c r="J195" s="11" t="n"/>
      <c r="K195" s="11" t="n"/>
      <c r="L195" s="11" t="n"/>
      <c r="M195" s="11" t="n"/>
      <c r="N195" s="11" t="n"/>
      <c r="O195" s="11" t="n"/>
      <c r="P195" s="11" t="n"/>
      <c r="Q195" s="11" t="n"/>
      <c r="R195" s="11" t="n"/>
      <c r="S195" s="11" t="n"/>
      <c r="T195" s="11" t="n"/>
      <c r="U195" s="11" t="n"/>
      <c r="V195" s="11" t="n"/>
      <c r="W195" s="11" t="n"/>
      <c r="X195" s="11" t="n"/>
      <c r="Y195" s="11" t="n"/>
      <c r="Z195" s="11" t="n"/>
      <c r="AA195" s="11" t="inlineStr"/>
    </row>
    <row r="196" hidden="1" s="241"/>
    <row r="197" hidden="1" s="241"/>
    <row r="198" hidden="1" customFormat="1" s="13">
      <c r="A198" s="12" t="n"/>
      <c r="B198" s="12" t="n"/>
      <c r="C198" s="59" t="inlineStr">
        <is>
          <t>حساب حافز الأداء</t>
        </is>
      </c>
      <c r="D198" s="60" t="n"/>
      <c r="E198" s="193" t="inlineStr">
        <is>
          <t>مساعد</t>
        </is>
      </c>
      <c r="F198" s="60">
        <f>F$110</f>
        <v/>
      </c>
      <c r="G198" s="60">
        <f>G$110</f>
        <v/>
      </c>
      <c r="H198" s="60">
        <f>H$110</f>
        <v/>
      </c>
      <c r="I198" s="60">
        <f>I$110</f>
        <v/>
      </c>
      <c r="J198" s="60">
        <f>J$110</f>
        <v/>
      </c>
      <c r="K198" s="60">
        <f>K$110</f>
        <v/>
      </c>
      <c r="L198" s="60">
        <f>L$110</f>
        <v/>
      </c>
      <c r="M198" s="60">
        <f>M$110</f>
        <v/>
      </c>
      <c r="N198" s="60">
        <f>N$110</f>
        <v/>
      </c>
      <c r="O198" s="60">
        <f>O$110</f>
        <v/>
      </c>
      <c r="P198" s="60">
        <f>P$110</f>
        <v/>
      </c>
      <c r="Q198" s="60">
        <f>Q$110</f>
        <v/>
      </c>
      <c r="R198" s="60">
        <f>R$110</f>
        <v/>
      </c>
    </row>
    <row r="199" hidden="1" s="241">
      <c r="D199" s="13" t="inlineStr">
        <is>
          <t>صافي التدفق النقدي للمشروع - قبل حافز الأداء</t>
        </is>
      </c>
      <c r="E199" s="174">
        <f>SUM(F199:R199)</f>
        <v/>
      </c>
      <c r="F199" s="8">
        <f>F166</f>
        <v/>
      </c>
      <c r="G199" s="8">
        <f>G166</f>
        <v/>
      </c>
      <c r="H199" s="8">
        <f>H166</f>
        <v/>
      </c>
      <c r="I199" s="8">
        <f>I166</f>
        <v/>
      </c>
      <c r="J199" s="8">
        <f>J166</f>
        <v/>
      </c>
      <c r="K199" s="8">
        <f>K166</f>
        <v/>
      </c>
      <c r="L199" s="8">
        <f>L166</f>
        <v/>
      </c>
      <c r="M199" s="8">
        <f>M166</f>
        <v/>
      </c>
      <c r="N199" s="8">
        <f>N166</f>
        <v/>
      </c>
      <c r="O199" s="8">
        <f>O166</f>
        <v/>
      </c>
      <c r="P199" s="8">
        <f>P166</f>
        <v/>
      </c>
      <c r="Q199" s="8">
        <f>Q166</f>
        <v/>
      </c>
      <c r="R199" s="8">
        <f>R166</f>
        <v/>
      </c>
    </row>
    <row r="200" hidden="1" s="241">
      <c r="D200" s="13" t="inlineStr">
        <is>
          <t>التدفق النقدي الذي يحقق العائد المستهدف</t>
        </is>
      </c>
      <c r="E200" s="194">
        <f>IRR(F200:R200)</f>
        <v/>
      </c>
      <c r="F200" s="8">
        <f>F199</f>
        <v/>
      </c>
      <c r="G200" s="8">
        <f>G199</f>
        <v/>
      </c>
      <c r="H200" s="8">
        <f>H199</f>
        <v/>
      </c>
      <c r="I200" s="8">
        <f>I199</f>
        <v/>
      </c>
      <c r="J200" s="211" t="n">
        <v>127100000</v>
      </c>
      <c r="K200" s="8" t="n">
        <v>0</v>
      </c>
      <c r="L200" s="8" t="n">
        <v>0</v>
      </c>
      <c r="M200" s="8" t="n">
        <v>0</v>
      </c>
      <c r="N200" s="8" t="n">
        <v>0</v>
      </c>
      <c r="O200" s="8" t="n">
        <v>0</v>
      </c>
      <c r="P200" s="8" t="n">
        <v>0</v>
      </c>
      <c r="Q200" s="8" t="n">
        <v>0</v>
      </c>
      <c r="R200" s="8" t="n">
        <v>0</v>
      </c>
    </row>
    <row r="201" hidden="1" s="241">
      <c r="C201" s="18" t="n"/>
      <c r="D201" s="18" t="inlineStr">
        <is>
          <t>الفائض النقدي المحقق أعلى من العائد المستهدف</t>
        </is>
      </c>
      <c r="E201" s="197">
        <f>SUM(F201:R201)</f>
        <v/>
      </c>
      <c r="F201" s="19">
        <f>F199-F200</f>
        <v/>
      </c>
      <c r="G201" s="19">
        <f>G199-G200</f>
        <v/>
      </c>
      <c r="H201" s="19">
        <f>H199-H200</f>
        <v/>
      </c>
      <c r="I201" s="19">
        <f>I199-I200</f>
        <v/>
      </c>
      <c r="J201" s="19">
        <f>J199-J200</f>
        <v/>
      </c>
      <c r="K201" s="19">
        <f>K199-K200</f>
        <v/>
      </c>
      <c r="L201" s="19">
        <f>L199-L200</f>
        <v/>
      </c>
      <c r="M201" s="19">
        <f>M199-M200</f>
        <v/>
      </c>
      <c r="N201" s="19">
        <f>N199-N200</f>
        <v/>
      </c>
      <c r="O201" s="19">
        <f>O199-O200</f>
        <v/>
      </c>
      <c r="P201" s="19">
        <f>P199-P200</f>
        <v/>
      </c>
      <c r="Q201" s="19">
        <f>Q199-Q200</f>
        <v/>
      </c>
      <c r="R201" s="19">
        <f>R199-R200</f>
        <v/>
      </c>
    </row>
    <row r="202" hidden="1" s="241">
      <c r="D202" s="13" t="inlineStr">
        <is>
          <t>نسبة حافز الأداء المستحق</t>
        </is>
      </c>
      <c r="E202" s="198" t="n">
        <v>0.3</v>
      </c>
    </row>
    <row r="203" hidden="1" s="241">
      <c r="C203" s="18" t="n"/>
      <c r="D203" s="18" t="inlineStr">
        <is>
          <t>قيمة حافز الأداء</t>
        </is>
      </c>
      <c r="E203" s="197">
        <f>E201*E202</f>
        <v/>
      </c>
    </row>
    <row r="204" hidden="1" s="241">
      <c r="C204" s="195" t="n"/>
      <c r="D204" s="195" t="inlineStr">
        <is>
          <t>صافي الربح المحقق للمشروع بعد خصم حافز الأداء</t>
        </is>
      </c>
      <c r="E204" s="196">
        <f>E199-E203</f>
        <v/>
      </c>
    </row>
    <row r="205" hidden="1" s="241"/>
    <row r="206" hidden="1" s="241"/>
    <row r="207" hidden="1" customFormat="1" s="13">
      <c r="A207" s="12" t="n"/>
      <c r="B207" s="12" t="n"/>
      <c r="C207" s="59" t="inlineStr">
        <is>
          <t>حساب حافز الأداء</t>
        </is>
      </c>
      <c r="D207" s="60" t="n"/>
      <c r="E207" s="193" t="inlineStr">
        <is>
          <t>مساعد</t>
        </is>
      </c>
      <c r="F207" s="60">
        <f>F$110</f>
        <v/>
      </c>
      <c r="G207" s="60">
        <f>G$110</f>
        <v/>
      </c>
      <c r="H207" s="60">
        <f>H$110</f>
        <v/>
      </c>
      <c r="I207" s="60">
        <f>I$110</f>
        <v/>
      </c>
      <c r="J207" s="60">
        <f>J$110</f>
        <v/>
      </c>
      <c r="K207" s="60">
        <f>K$110</f>
        <v/>
      </c>
      <c r="L207" s="60">
        <f>L$110</f>
        <v/>
      </c>
      <c r="M207" s="60">
        <f>M$110</f>
        <v/>
      </c>
      <c r="N207" s="60">
        <f>N$110</f>
        <v/>
      </c>
      <c r="O207" s="60">
        <f>O$110</f>
        <v/>
      </c>
      <c r="P207" s="60">
        <f>P$110</f>
        <v/>
      </c>
      <c r="Q207" s="60">
        <f>Q$110</f>
        <v/>
      </c>
      <c r="R207" s="60">
        <f>R$110</f>
        <v/>
      </c>
    </row>
    <row r="208" hidden="1" s="241">
      <c r="D208" s="13" t="inlineStr">
        <is>
          <t>صافي التدفق النقدي للمشروع - بعد حافز الأداء</t>
        </is>
      </c>
      <c r="E208" s="174">
        <f>SUM(F208:R208)</f>
        <v/>
      </c>
      <c r="F208" s="8">
        <f>IF(F198=$E$167,F199-$E$203,F199)</f>
        <v/>
      </c>
      <c r="G208" s="8">
        <f>IF(G198=$E$167,G199-$E$203,G199)</f>
        <v/>
      </c>
      <c r="H208" s="8">
        <f>IF(H198=$E$167,H199-$E$203,H199)</f>
        <v/>
      </c>
      <c r="I208" s="8">
        <f>IF(I198=$E$167,I199-$E$203,I199)</f>
        <v/>
      </c>
      <c r="J208" s="8">
        <f>IF(J198=$E$167,J199-$E$203,J199)</f>
        <v/>
      </c>
      <c r="K208" s="8">
        <f>IF(K198=$E$167,K199-$E$203,K199)</f>
        <v/>
      </c>
      <c r="L208" s="8">
        <f>IF(L198=$E$167,L199-$E$203,L199)</f>
        <v/>
      </c>
      <c r="M208" s="8">
        <f>IF(M198=$E$167,M199-$E$203,M199)</f>
        <v/>
      </c>
      <c r="N208" s="8">
        <f>IF(N198=$E$167,N199-$E$203,N199)</f>
        <v/>
      </c>
      <c r="O208" s="8">
        <f>IF(O198=$E$167,O199-$E$203,O199)</f>
        <v/>
      </c>
      <c r="P208" s="8">
        <f>IF(P198=$E$167,P199-$E$203,P199)</f>
        <v/>
      </c>
      <c r="Q208" s="8">
        <f>IF(Q198=$E$167,Q199-$E$203,Q199)</f>
        <v/>
      </c>
      <c r="R208" s="8">
        <f>IF(R198=$E$167,R199-$E$203,R199)</f>
        <v/>
      </c>
    </row>
    <row r="209" hidden="1" customFormat="1" s="13">
      <c r="A209" s="12" t="n"/>
      <c r="B209" s="12" t="n"/>
      <c r="D209" s="13" t="inlineStr">
        <is>
          <t>مدة المشروع</t>
        </is>
      </c>
      <c r="E209" s="95">
        <f>E141</f>
        <v/>
      </c>
      <c r="F209" s="22" t="n"/>
      <c r="G209" s="22" t="n"/>
      <c r="H209" s="22" t="n"/>
      <c r="I209" s="22" t="n"/>
      <c r="J209" s="22" t="n"/>
      <c r="K209" s="22" t="n"/>
      <c r="L209" s="22" t="n"/>
      <c r="M209" s="22" t="n"/>
      <c r="N209" s="22" t="n"/>
      <c r="O209" s="22" t="n"/>
      <c r="P209" s="22" t="n"/>
      <c r="Q209" s="22" t="n"/>
      <c r="R209" s="22" t="n"/>
    </row>
    <row r="210" hidden="1" customFormat="1" s="13">
      <c r="A210" s="12" t="n"/>
      <c r="B210" s="12" t="n"/>
      <c r="C210" s="18" t="n"/>
      <c r="D210" s="18" t="inlineStr">
        <is>
          <t>حجم الاستثمار</t>
        </is>
      </c>
      <c r="E210" s="51">
        <f>-SUMIF(F208:R208,"&lt;0",F208:R208)</f>
        <v/>
      </c>
      <c r="F210" s="22" t="n"/>
      <c r="G210" s="22" t="n"/>
      <c r="H210" s="22" t="n"/>
      <c r="I210" s="22" t="n"/>
      <c r="J210" s="22" t="n"/>
      <c r="K210" s="22" t="n"/>
      <c r="L210" s="22" t="n"/>
      <c r="M210" s="22" t="n"/>
      <c r="N210" s="22" t="n"/>
      <c r="O210" s="22" t="n"/>
      <c r="P210" s="22" t="n"/>
      <c r="Q210" s="22" t="n"/>
      <c r="R210" s="22" t="n"/>
    </row>
    <row r="211" hidden="1" customFormat="1" s="13">
      <c r="A211" s="12" t="n"/>
      <c r="B211" s="12" t="n"/>
      <c r="D211" s="13" t="inlineStr">
        <is>
          <t>هامش الربح الكلي</t>
        </is>
      </c>
      <c r="E211" s="93">
        <f>E208/E210</f>
        <v/>
      </c>
      <c r="F211" s="22" t="n"/>
      <c r="G211" s="22" t="n"/>
      <c r="H211" s="22" t="n"/>
      <c r="I211" s="22" t="n"/>
      <c r="J211" s="22" t="n"/>
      <c r="K211" s="22" t="n"/>
      <c r="L211" s="22" t="n"/>
      <c r="M211" s="22" t="n"/>
      <c r="N211" s="22" t="n"/>
      <c r="O211" s="22" t="n"/>
      <c r="P211" s="22" t="n"/>
      <c r="Q211" s="22" t="n"/>
      <c r="R211" s="22" t="n"/>
    </row>
    <row r="212" hidden="1" customFormat="1" s="13">
      <c r="A212" s="12" t="n"/>
      <c r="B212" s="12" t="n"/>
      <c r="C212" s="63" t="n"/>
      <c r="D212" s="63" t="inlineStr">
        <is>
          <t>هامش الربح السنوي للمشروع - ROI - بعد حافز الأداء</t>
        </is>
      </c>
      <c r="E212" s="94">
        <f>E211/E209</f>
        <v/>
      </c>
      <c r="F212" s="22" t="n"/>
      <c r="G212" s="22" t="n"/>
      <c r="H212" s="22" t="n"/>
      <c r="I212" s="22" t="n"/>
      <c r="J212" s="22" t="n"/>
      <c r="K212" s="22" t="n"/>
      <c r="L212" s="22" t="n"/>
      <c r="M212" s="22" t="n"/>
      <c r="N212" s="22" t="n"/>
      <c r="O212" s="22" t="n"/>
      <c r="P212" s="22" t="n"/>
      <c r="Q212" s="22" t="n"/>
      <c r="R212" s="22" t="n"/>
    </row>
    <row r="213" hidden="1" customFormat="1" s="13">
      <c r="A213" s="12" t="n"/>
      <c r="B213" s="12" t="n"/>
      <c r="C213" s="63" t="n"/>
      <c r="D213" s="63" t="inlineStr">
        <is>
          <t>معدل العائد الداخلي للمشروع - IRR - بعد حافز الأداء</t>
        </is>
      </c>
      <c r="E213" s="94">
        <f>IRR(F208:R208)</f>
        <v/>
      </c>
      <c r="F213" s="27" t="n"/>
      <c r="G213" s="27" t="n"/>
      <c r="H213" s="27" t="n"/>
      <c r="I213" s="27" t="n"/>
      <c r="J213" s="27" t="n"/>
      <c r="K213" s="27" t="n"/>
      <c r="L213" s="27" t="n"/>
      <c r="M213" s="27" t="n"/>
      <c r="N213" s="27" t="n"/>
      <c r="O213" s="27" t="n"/>
      <c r="P213" s="27" t="n"/>
      <c r="Q213" s="27" t="n"/>
      <c r="R213" s="27" t="n"/>
    </row>
    <row r="214" hidden="1" s="241"/>
    <row r="215" hidden="1" s="241"/>
    <row r="216" hidden="1" s="241">
      <c r="A216" s="9" t="inlineStr">
        <is>
          <t>سابعا |ملخص نتائج الصندوق</t>
        </is>
      </c>
      <c r="B216" s="9" t="n"/>
      <c r="C216" s="9" t="n"/>
      <c r="D216" s="10" t="n"/>
      <c r="E216" s="11" t="n"/>
      <c r="F216" s="11" t="n"/>
      <c r="G216" s="11" t="n"/>
      <c r="H216" s="11" t="n"/>
      <c r="I216" s="11" t="n"/>
      <c r="J216" s="11" t="n"/>
      <c r="K216" s="11" t="n"/>
      <c r="L216" s="11" t="n"/>
      <c r="M216" s="11" t="n"/>
      <c r="N216" s="11" t="n"/>
      <c r="O216" s="11" t="n"/>
      <c r="P216" s="11" t="n"/>
      <c r="Q216" s="11" t="n"/>
      <c r="R216" s="11" t="n"/>
      <c r="S216" s="11" t="n"/>
      <c r="T216" s="11" t="n"/>
      <c r="U216" s="11" t="n"/>
      <c r="V216" s="11" t="n"/>
      <c r="W216" s="11" t="n"/>
      <c r="X216" s="11" t="n"/>
      <c r="Y216" s="11" t="n"/>
      <c r="Z216" s="11" t="n"/>
      <c r="AA216" s="11" t="inlineStr"/>
    </row>
    <row r="217" hidden="1" s="241">
      <c r="E217" s="16" t="n"/>
    </row>
    <row r="218" hidden="1" s="241">
      <c r="D218" s="73" t="inlineStr">
        <is>
          <t>البند</t>
        </is>
      </c>
      <c r="E218" s="74" t="inlineStr">
        <is>
          <t>التكلفة</t>
        </is>
      </c>
      <c r="F218" s="74" t="inlineStr">
        <is>
          <t>%</t>
        </is>
      </c>
      <c r="H218" s="73" t="inlineStr">
        <is>
          <t>المساهمين و ربحية الصندوق</t>
        </is>
      </c>
      <c r="I218" s="73" t="n"/>
      <c r="J218" s="74" t="n"/>
      <c r="K218" s="74" t="n"/>
    </row>
    <row r="219" hidden="1" s="241">
      <c r="D219" s="75" t="inlineStr">
        <is>
          <t>حجم الاستثمار</t>
        </is>
      </c>
      <c r="E219" s="76" t="n"/>
      <c r="F219" s="76" t="n"/>
      <c r="H219" s="75" t="inlineStr">
        <is>
          <t>البند</t>
        </is>
      </c>
      <c r="I219" s="75" t="n"/>
      <c r="J219" s="77" t="inlineStr">
        <is>
          <t>المبلغ</t>
        </is>
      </c>
      <c r="K219" s="77" t="inlineStr">
        <is>
          <t>%</t>
        </is>
      </c>
      <c r="M219" s="8">
        <f>G58</f>
        <v/>
      </c>
    </row>
    <row r="220" hidden="1" s="241">
      <c r="D220" s="78" t="inlineStr">
        <is>
          <t xml:space="preserve">تكاليف البناء و التطوير </t>
        </is>
      </c>
      <c r="E220" s="79">
        <f>G60</f>
        <v/>
      </c>
      <c r="F220" s="80">
        <f>E220/$E$227</f>
        <v/>
      </c>
      <c r="H220" s="81" t="inlineStr">
        <is>
          <t>الملاك</t>
        </is>
      </c>
      <c r="J220" s="8">
        <f>$J$222*K220</f>
        <v/>
      </c>
      <c r="K220" s="20" t="n">
        <v>0.5</v>
      </c>
      <c r="M220" s="8">
        <f>E203</f>
        <v/>
      </c>
    </row>
    <row r="221" hidden="1" s="241">
      <c r="D221" s="78" t="inlineStr">
        <is>
          <t>تكاليف الارض</t>
        </is>
      </c>
      <c r="E221" s="79">
        <f>E149</f>
        <v/>
      </c>
      <c r="F221" s="80">
        <f>E221/$E$227</f>
        <v/>
      </c>
      <c r="H221" s="13" t="inlineStr">
        <is>
          <t>مساهمين</t>
        </is>
      </c>
      <c r="J221" s="8">
        <f>$J$222*K221</f>
        <v/>
      </c>
      <c r="K221" s="21">
        <f>1-K220</f>
        <v/>
      </c>
    </row>
    <row r="222" hidden="1" s="241">
      <c r="D222" s="82" t="inlineStr">
        <is>
          <t>تكلفة المشروع</t>
        </is>
      </c>
      <c r="E222" s="83">
        <f>SUM(E220:E221)</f>
        <v/>
      </c>
      <c r="F222" s="84">
        <f>E222/$E$227</f>
        <v/>
      </c>
      <c r="H222" s="18" t="inlineStr">
        <is>
          <t>المساهمين</t>
        </is>
      </c>
      <c r="I222" s="19" t="n"/>
      <c r="J222" s="19">
        <f>E231</f>
        <v/>
      </c>
      <c r="K222" s="31">
        <f>J222/J222</f>
        <v/>
      </c>
    </row>
    <row r="223" hidden="1" s="241">
      <c r="D223" s="78" t="inlineStr">
        <is>
          <t>رسوم ترتيب التمويل</t>
        </is>
      </c>
      <c r="E223" s="79">
        <f>-SUM(F157:R157)</f>
        <v/>
      </c>
      <c r="F223" s="80">
        <f>E223/$E$227</f>
        <v/>
      </c>
      <c r="H223" s="75" t="inlineStr">
        <is>
          <t>مؤشرات الربحية</t>
        </is>
      </c>
      <c r="I223" s="75" t="n"/>
      <c r="J223" s="76" t="n"/>
      <c r="K223" s="85" t="n"/>
    </row>
    <row r="224" hidden="1" s="241">
      <c r="D224" s="86" t="inlineStr">
        <is>
          <t>تكاليف المرابحة فترة التطوير</t>
        </is>
      </c>
      <c r="E224" s="79">
        <f>-SUM(F159:I159)</f>
        <v/>
      </c>
      <c r="F224" s="80">
        <f>E224/$E$227</f>
        <v/>
      </c>
      <c r="H224" s="13" t="inlineStr">
        <is>
          <t>هامش الربح السنوي - ROI</t>
        </is>
      </c>
      <c r="I224" s="13" t="n"/>
      <c r="J224" s="17">
        <f>E212</f>
        <v/>
      </c>
    </row>
    <row r="225" hidden="1" s="241">
      <c r="D225" s="78" t="inlineStr">
        <is>
          <t>رسوم تأسيس الصندوق</t>
        </is>
      </c>
      <c r="E225" s="79">
        <f>-F163*E162</f>
        <v/>
      </c>
      <c r="F225" s="80">
        <f>E225/$E$227</f>
        <v/>
      </c>
      <c r="H225" s="23" t="inlineStr">
        <is>
          <t xml:space="preserve">معدل العائد الداخلي "IRR" </t>
        </is>
      </c>
      <c r="I225" s="23" t="n"/>
      <c r="J225" s="87">
        <f>E213</f>
        <v/>
      </c>
      <c r="K225" s="24" t="n"/>
    </row>
    <row r="226" hidden="1" s="241">
      <c r="D226" s="86" t="inlineStr">
        <is>
          <t>تكاليف الشركة المالية فترة التطوير</t>
        </is>
      </c>
      <c r="E226" s="79">
        <f>-SUM(F164:I164)</f>
        <v/>
      </c>
      <c r="F226" s="80">
        <f>E226/$E$227</f>
        <v/>
      </c>
      <c r="H226" s="18" t="inlineStr">
        <is>
          <t>ربح المشروع</t>
        </is>
      </c>
      <c r="I226" s="18" t="n"/>
      <c r="J226" s="19">
        <f>E204</f>
        <v/>
      </c>
      <c r="K226" s="19" t="n"/>
      <c r="M226" s="8">
        <f>K220*J226</f>
        <v/>
      </c>
    </row>
    <row r="227" hidden="1" s="241">
      <c r="D227" s="90" t="inlineStr">
        <is>
          <t xml:space="preserve">حجم الاستثمار </t>
        </is>
      </c>
      <c r="E227" s="91">
        <f>SUM(E222:E226)</f>
        <v/>
      </c>
      <c r="F227" s="5">
        <f>E227/$E$227</f>
        <v/>
      </c>
    </row>
    <row r="228" hidden="1" s="241">
      <c r="D228" s="75" t="inlineStr">
        <is>
          <t>الهيكل المالي</t>
        </is>
      </c>
      <c r="E228" s="76" t="n"/>
      <c r="F228" s="85" t="n"/>
    </row>
    <row r="229" hidden="1" s="241">
      <c r="D229" s="13" t="inlineStr">
        <is>
          <t xml:space="preserve">تحصيل البيع على الخارطة  </t>
        </is>
      </c>
      <c r="E229" s="8">
        <f>E227-SUM(E230:E231)</f>
        <v/>
      </c>
      <c r="F229" s="80">
        <f>E229/$E$227</f>
        <v/>
      </c>
    </row>
    <row r="230" hidden="1" s="241">
      <c r="D230" s="78" t="inlineStr">
        <is>
          <t>التمويل البنكي المقدر</t>
        </is>
      </c>
      <c r="E230" s="79">
        <f>E69</f>
        <v/>
      </c>
      <c r="F230" s="80">
        <f>E230/$E$227</f>
        <v/>
      </c>
    </row>
    <row r="231" hidden="1" s="241">
      <c r="D231" s="78" t="inlineStr">
        <is>
          <t>المساهمين</t>
        </is>
      </c>
      <c r="E231" s="79">
        <f>E192</f>
        <v/>
      </c>
      <c r="F231" s="80">
        <f>E231/$E$227</f>
        <v/>
      </c>
    </row>
    <row r="232" hidden="1" s="241">
      <c r="D232" s="144" t="inlineStr">
        <is>
          <t>هيكل الصندوق</t>
        </is>
      </c>
      <c r="E232" s="145">
        <f>SUM(E229:E231)</f>
        <v/>
      </c>
      <c r="F232" s="146" t="n"/>
    </row>
    <row r="233" hidden="1" s="241">
      <c r="D233" s="75" t="inlineStr">
        <is>
          <t>التحقق من الحسابات</t>
        </is>
      </c>
      <c r="E233" s="76" t="n"/>
      <c r="F233" s="85" t="n"/>
      <c r="L233" s="12" t="n"/>
    </row>
    <row r="234" hidden="1" s="241">
      <c r="D234" s="78" t="inlineStr">
        <is>
          <t>المساهمين وفقا للحسابات</t>
        </is>
      </c>
      <c r="E234" s="79">
        <f>E231</f>
        <v/>
      </c>
      <c r="F234" s="79" t="n"/>
      <c r="L234" s="12" t="n"/>
    </row>
    <row r="235" hidden="1" s="241">
      <c r="D235" s="78" t="inlineStr">
        <is>
          <t>المساهمين وفقا للتدفقات</t>
        </is>
      </c>
      <c r="E235" s="79">
        <f>E192</f>
        <v/>
      </c>
      <c r="F235" s="79" t="n"/>
      <c r="L235" s="12" t="n"/>
    </row>
    <row r="236" hidden="1" s="241">
      <c r="D236" s="78" t="inlineStr">
        <is>
          <t>الفروق</t>
        </is>
      </c>
      <c r="E236" s="79">
        <f>ROUND(E234,-3)-ROUND(E235,-3)</f>
        <v/>
      </c>
      <c r="F236" s="79" t="n"/>
      <c r="L236" s="12" t="n"/>
    </row>
    <row r="237" hidden="1" s="241">
      <c r="D237" s="82" t="inlineStr">
        <is>
          <t>التحقق</t>
        </is>
      </c>
      <c r="E237" s="83">
        <f>IF(E236=0,1,0)</f>
        <v/>
      </c>
      <c r="F237" s="83" t="n"/>
      <c r="L237" s="12" t="n"/>
    </row>
    <row r="238" hidden="1" s="241">
      <c r="L238" s="12" t="n"/>
    </row>
    <row r="239" hidden="1" s="241">
      <c r="L239" s="12" t="n"/>
    </row>
    <row r="240" hidden="1" s="241">
      <c r="L240" s="12" t="n"/>
    </row>
    <row r="241" hidden="1" s="241">
      <c r="L241" s="12" t="n"/>
    </row>
    <row r="242" hidden="1" customFormat="1" s="12">
      <c r="D242" s="13" t="n"/>
      <c r="E242" s="8" t="n"/>
      <c r="F242" s="8" t="n"/>
      <c r="G242" s="8" t="n"/>
      <c r="H242" s="8" t="n"/>
      <c r="I242" s="8" t="n"/>
      <c r="J242" s="8" t="n"/>
      <c r="K242" s="8" t="n"/>
      <c r="L242" s="8" t="n"/>
      <c r="M242" s="8" t="n"/>
      <c r="N242" s="8" t="n"/>
      <c r="O242" s="8" t="n"/>
      <c r="P242" s="8" t="n"/>
      <c r="Q242" s="8" t="n"/>
      <c r="R242" s="8" t="n"/>
      <c r="S242" s="8" t="n"/>
      <c r="T242" s="8" t="n"/>
      <c r="U242" s="8" t="n"/>
      <c r="V242" s="8" t="n"/>
      <c r="W242" s="8" t="n"/>
      <c r="X242" s="8" t="n"/>
      <c r="Y242" s="8" t="n"/>
      <c r="Z242" s="8" t="n"/>
      <c r="AA242" s="8" t="n"/>
      <c r="AB242" s="8" t="n"/>
      <c r="AC242" s="8" t="n"/>
      <c r="AD242" s="8" t="n"/>
      <c r="AE242" s="8" t="n"/>
      <c r="AF242" s="8" t="n"/>
      <c r="AG242" s="8" t="n"/>
      <c r="AH242" s="8" t="n"/>
      <c r="AI242" s="8" t="n"/>
      <c r="AJ242" s="8" t="n"/>
      <c r="AK242" s="8" t="n"/>
      <c r="AL242" s="8" t="n"/>
      <c r="AM242" s="8" t="n"/>
      <c r="AN242" s="8" t="n"/>
      <c r="AO242" s="8" t="n"/>
      <c r="AP242" s="8" t="n"/>
      <c r="AQ242" s="8" t="n"/>
      <c r="AR242" s="8" t="n"/>
      <c r="AS242" s="8" t="n"/>
      <c r="AT242" s="8" t="n"/>
      <c r="AU242" s="8" t="n"/>
      <c r="AV242" s="8" t="n"/>
      <c r="AW242" s="8" t="n"/>
      <c r="AX242" s="8" t="n"/>
      <c r="AY242" s="8" t="n"/>
      <c r="AZ242" s="8" t="n"/>
    </row>
    <row r="243" hidden="1" customFormat="1" s="12">
      <c r="D243" s="13" t="n"/>
      <c r="E243" s="8" t="n"/>
      <c r="F243" s="8" t="n"/>
      <c r="G243" s="8" t="n"/>
      <c r="H243" s="8" t="n"/>
      <c r="I243" s="8" t="n"/>
      <c r="J243" s="8" t="n"/>
      <c r="K243" s="8" t="n"/>
      <c r="L243" s="8" t="n"/>
      <c r="M243" s="8" t="n"/>
      <c r="N243" s="8" t="n"/>
      <c r="O243" s="8" t="n"/>
      <c r="P243" s="8" t="n"/>
      <c r="Q243" s="8" t="n"/>
      <c r="R243" s="8" t="n"/>
      <c r="S243" s="8" t="n"/>
      <c r="T243" s="8" t="n"/>
      <c r="U243" s="8" t="n"/>
      <c r="V243" s="8" t="n"/>
      <c r="W243" s="8" t="n"/>
      <c r="X243" s="8" t="n"/>
      <c r="Y243" s="8" t="n"/>
      <c r="Z243" s="8" t="n"/>
      <c r="AA243" s="8" t="n"/>
      <c r="AB243" s="8" t="n"/>
      <c r="AC243" s="8" t="n"/>
      <c r="AD243" s="8" t="n"/>
      <c r="AE243" s="8" t="n"/>
      <c r="AF243" s="8" t="n"/>
      <c r="AG243" s="8" t="n"/>
      <c r="AH243" s="8" t="n"/>
      <c r="AI243" s="8" t="n"/>
      <c r="AJ243" s="8" t="n"/>
      <c r="AK243" s="8" t="n"/>
      <c r="AL243" s="8" t="n"/>
      <c r="AM243" s="8" t="n"/>
      <c r="AN243" s="8" t="n"/>
      <c r="AO243" s="8" t="n"/>
      <c r="AP243" s="8" t="n"/>
      <c r="AQ243" s="8" t="n"/>
      <c r="AR243" s="8" t="n"/>
      <c r="AS243" s="8" t="n"/>
      <c r="AT243" s="8" t="n"/>
      <c r="AU243" s="8" t="n"/>
      <c r="AV243" s="8" t="n"/>
      <c r="AW243" s="8" t="n"/>
      <c r="AX243" s="8" t="n"/>
      <c r="AY243" s="8" t="n"/>
      <c r="AZ243" s="8" t="n"/>
    </row>
    <row r="244" hidden="1" customFormat="1" s="12">
      <c r="D244" s="13" t="n"/>
      <c r="E244" s="8" t="n"/>
      <c r="F244" s="8" t="n"/>
      <c r="G244" s="8" t="n"/>
      <c r="H244" s="8" t="n"/>
      <c r="I244" s="8" t="n"/>
      <c r="J244" s="8" t="n"/>
      <c r="K244" s="8" t="n"/>
      <c r="L244" s="8" t="n"/>
      <c r="M244" s="8" t="n"/>
      <c r="N244" s="8" t="n"/>
      <c r="O244" s="8" t="n"/>
      <c r="P244" s="8" t="n"/>
      <c r="Q244" s="8" t="n"/>
      <c r="R244" s="8" t="n"/>
      <c r="S244" s="8" t="n"/>
      <c r="T244" s="8" t="n"/>
      <c r="U244" s="8" t="n"/>
      <c r="V244" s="8" t="n"/>
      <c r="W244" s="8" t="n"/>
      <c r="X244" s="8" t="n"/>
      <c r="Y244" s="8" t="n"/>
      <c r="Z244" s="8" t="n"/>
      <c r="AA244" s="8" t="n"/>
      <c r="AB244" s="8" t="n"/>
      <c r="AC244" s="8" t="n"/>
      <c r="AD244" s="8" t="n"/>
      <c r="AE244" s="8" t="n"/>
      <c r="AF244" s="8" t="n"/>
      <c r="AG244" s="8" t="n"/>
      <c r="AH244" s="8" t="n"/>
      <c r="AI244" s="8" t="n"/>
      <c r="AJ244" s="8" t="n"/>
      <c r="AK244" s="8" t="n"/>
      <c r="AL244" s="8" t="n"/>
      <c r="AM244" s="8" t="n"/>
      <c r="AN244" s="8" t="n"/>
      <c r="AO244" s="8" t="n"/>
      <c r="AP244" s="8" t="n"/>
      <c r="AQ244" s="8" t="n"/>
      <c r="AR244" s="8" t="n"/>
      <c r="AS244" s="8" t="n"/>
      <c r="AT244" s="8" t="n"/>
      <c r="AU244" s="8" t="n"/>
      <c r="AV244" s="8" t="n"/>
      <c r="AW244" s="8" t="n"/>
      <c r="AX244" s="8" t="n"/>
      <c r="AY244" s="8" t="n"/>
      <c r="AZ244" s="8" t="n"/>
    </row>
    <row r="245" hidden="1" customFormat="1" s="12">
      <c r="D245" s="13" t="n"/>
      <c r="E245" s="8" t="n"/>
      <c r="F245" s="8" t="n"/>
      <c r="G245" s="8" t="n"/>
      <c r="H245" s="8" t="n"/>
      <c r="I245" s="8" t="n"/>
      <c r="J245" s="8" t="n"/>
      <c r="K245" s="8" t="n"/>
      <c r="L245" s="8" t="n"/>
      <c r="M245" s="8" t="n"/>
      <c r="N245" s="8" t="n"/>
      <c r="O245" s="8" t="n"/>
      <c r="P245" s="8" t="n"/>
      <c r="Q245" s="8" t="n"/>
      <c r="R245" s="8" t="n"/>
      <c r="S245" s="8" t="n"/>
      <c r="T245" s="8" t="n"/>
      <c r="U245" s="8" t="n"/>
      <c r="V245" s="8" t="n"/>
      <c r="W245" s="8" t="n"/>
      <c r="X245" s="8" t="n"/>
      <c r="Y245" s="8" t="n"/>
      <c r="Z245" s="8" t="n"/>
      <c r="AA245" s="8" t="n"/>
      <c r="AB245" s="8" t="n"/>
      <c r="AC245" s="8" t="n"/>
      <c r="AD245" s="8" t="n"/>
      <c r="AE245" s="8" t="n"/>
      <c r="AF245" s="8" t="n"/>
      <c r="AG245" s="8" t="n"/>
      <c r="AH245" s="8" t="n"/>
      <c r="AI245" s="8" t="n"/>
      <c r="AJ245" s="8" t="n"/>
      <c r="AK245" s="8" t="n"/>
      <c r="AL245" s="8" t="n"/>
      <c r="AM245" s="8" t="n"/>
      <c r="AN245" s="8" t="n"/>
      <c r="AO245" s="8" t="n"/>
      <c r="AP245" s="8" t="n"/>
      <c r="AQ245" s="8" t="n"/>
      <c r="AR245" s="8" t="n"/>
      <c r="AS245" s="8" t="n"/>
      <c r="AT245" s="8" t="n"/>
      <c r="AU245" s="8" t="n"/>
      <c r="AV245" s="8" t="n"/>
      <c r="AW245" s="8" t="n"/>
      <c r="AX245" s="8" t="n"/>
      <c r="AY245" s="8" t="n"/>
      <c r="AZ245" s="8" t="n"/>
    </row>
    <row r="246" hidden="1" customFormat="1" s="12">
      <c r="D246" s="13" t="n"/>
      <c r="E246" s="8" t="n"/>
      <c r="F246" s="8" t="n"/>
      <c r="G246" s="8" t="n"/>
      <c r="H246" s="8" t="n"/>
      <c r="I246" s="8" t="n"/>
      <c r="J246" s="8" t="n"/>
      <c r="K246" s="8" t="n"/>
      <c r="L246" s="8" t="n"/>
      <c r="M246" s="8" t="n"/>
      <c r="N246" s="8" t="n"/>
      <c r="O246" s="8" t="n"/>
      <c r="P246" s="8" t="n"/>
      <c r="Q246" s="8" t="n"/>
      <c r="R246" s="8" t="n"/>
      <c r="S246" s="8" t="n"/>
      <c r="T246" s="8" t="n"/>
      <c r="U246" s="8" t="n"/>
      <c r="V246" s="8" t="n"/>
      <c r="W246" s="8" t="n"/>
      <c r="X246" s="8" t="n"/>
      <c r="Y246" s="8" t="n"/>
      <c r="Z246" s="8" t="n"/>
      <c r="AA246" s="8" t="n"/>
      <c r="AB246" s="8" t="n"/>
      <c r="AC246" s="8" t="n"/>
      <c r="AD246" s="8" t="n"/>
      <c r="AE246" s="8" t="n"/>
      <c r="AF246" s="8" t="n"/>
      <c r="AG246" s="8" t="n"/>
      <c r="AH246" s="8" t="n"/>
      <c r="AI246" s="8" t="n"/>
      <c r="AJ246" s="8" t="n"/>
      <c r="AK246" s="8" t="n"/>
      <c r="AL246" s="8" t="n"/>
      <c r="AM246" s="8" t="n"/>
      <c r="AN246" s="8" t="n"/>
      <c r="AO246" s="8" t="n"/>
      <c r="AP246" s="8" t="n"/>
      <c r="AQ246" s="8" t="n"/>
      <c r="AR246" s="8" t="n"/>
      <c r="AS246" s="8" t="n"/>
      <c r="AT246" s="8" t="n"/>
      <c r="AU246" s="8" t="n"/>
      <c r="AV246" s="8" t="n"/>
      <c r="AW246" s="8" t="n"/>
      <c r="AX246" s="8" t="n"/>
      <c r="AY246" s="8" t="n"/>
      <c r="AZ246" s="8" t="n"/>
    </row>
    <row r="247" hidden="1" s="241"/>
    <row r="248" hidden="1" s="241"/>
    <row r="249" hidden="1" s="241"/>
    <row r="250" hidden="1" s="241"/>
    <row r="251" hidden="1" s="241"/>
    <row r="252" hidden="1" s="241"/>
    <row r="253" hidden="1" s="241"/>
    <row r="254" hidden="1" customFormat="1" s="12">
      <c r="D254" s="13" t="n"/>
      <c r="E254" s="8" t="n"/>
      <c r="F254" s="8" t="n"/>
      <c r="G254" s="8" t="n"/>
      <c r="H254" s="8" t="n"/>
      <c r="I254" s="8" t="n"/>
      <c r="J254" s="8" t="n"/>
      <c r="K254" s="8" t="n"/>
      <c r="L254" s="8" t="n"/>
      <c r="M254" s="8" t="n"/>
      <c r="N254" s="8" t="n"/>
      <c r="O254" s="8" t="n"/>
      <c r="P254" s="8" t="n"/>
      <c r="Q254" s="8" t="n"/>
      <c r="R254" s="8" t="n"/>
      <c r="S254" s="8" t="n"/>
      <c r="T254" s="8" t="n"/>
      <c r="U254" s="8" t="n"/>
      <c r="V254" s="8" t="n"/>
      <c r="W254" s="8" t="n"/>
      <c r="X254" s="8" t="n"/>
      <c r="Y254" s="8" t="n"/>
      <c r="Z254" s="8" t="n"/>
      <c r="AA254" s="8" t="n"/>
      <c r="AB254" s="8" t="n"/>
      <c r="AC254" s="8" t="n"/>
      <c r="AD254" s="8" t="n"/>
      <c r="AE254" s="8" t="n"/>
      <c r="AF254" s="8" t="n"/>
      <c r="AG254" s="8" t="n"/>
      <c r="AH254" s="8" t="n"/>
      <c r="AI254" s="8" t="n"/>
      <c r="AJ254" s="8" t="n"/>
      <c r="AK254" s="8" t="n"/>
      <c r="AL254" s="8" t="n"/>
      <c r="AM254" s="8" t="n"/>
      <c r="AN254" s="8" t="n"/>
      <c r="AO254" s="8" t="n"/>
      <c r="AP254" s="8" t="n"/>
      <c r="AQ254" s="8" t="n"/>
      <c r="AR254" s="8" t="n"/>
      <c r="AS254" s="8" t="n"/>
      <c r="AT254" s="8" t="n"/>
      <c r="AU254" s="8" t="n"/>
      <c r="AV254" s="8" t="n"/>
      <c r="AW254" s="8" t="n"/>
      <c r="AX254" s="8" t="n"/>
      <c r="AY254" s="8" t="n"/>
      <c r="AZ254" s="8" t="n"/>
    </row>
    <row r="255" hidden="1" customFormat="1" s="12">
      <c r="D255" s="13" t="n"/>
      <c r="E255" s="8" t="n"/>
      <c r="F255" s="8" t="n"/>
      <c r="G255" s="8" t="n"/>
      <c r="H255" s="8" t="n"/>
      <c r="I255" s="8" t="n"/>
      <c r="J255" s="8" t="n"/>
      <c r="K255" s="8" t="n"/>
      <c r="L255" s="8" t="n"/>
      <c r="M255" s="8" t="n"/>
      <c r="N255" s="8" t="n"/>
      <c r="O255" s="8" t="n"/>
      <c r="P255" s="8" t="n"/>
      <c r="Q255" s="8" t="n"/>
      <c r="R255" s="8" t="n"/>
      <c r="S255" s="8" t="n"/>
      <c r="T255" s="8" t="n"/>
      <c r="U255" s="8" t="n"/>
      <c r="V255" s="8" t="n"/>
      <c r="W255" s="8" t="n"/>
      <c r="X255" s="8" t="n"/>
      <c r="Y255" s="8" t="n"/>
      <c r="Z255" s="8" t="n"/>
      <c r="AA255" s="8" t="n"/>
      <c r="AB255" s="8" t="n"/>
      <c r="AC255" s="8" t="n"/>
      <c r="AD255" s="8" t="n"/>
      <c r="AE255" s="8" t="n"/>
      <c r="AF255" s="8" t="n"/>
      <c r="AG255" s="8" t="n"/>
      <c r="AH255" s="8" t="n"/>
      <c r="AI255" s="8" t="n"/>
      <c r="AJ255" s="8" t="n"/>
      <c r="AK255" s="8" t="n"/>
      <c r="AL255" s="8" t="n"/>
      <c r="AM255" s="8" t="n"/>
      <c r="AN255" s="8" t="n"/>
      <c r="AO255" s="8" t="n"/>
      <c r="AP255" s="8" t="n"/>
      <c r="AQ255" s="8" t="n"/>
      <c r="AR255" s="8" t="n"/>
      <c r="AS255" s="8" t="n"/>
      <c r="AT255" s="8" t="n"/>
      <c r="AU255" s="8" t="n"/>
      <c r="AV255" s="8" t="n"/>
      <c r="AW255" s="8" t="n"/>
      <c r="AX255" s="8" t="n"/>
      <c r="AY255" s="8" t="n"/>
      <c r="AZ255" s="8" t="n"/>
    </row>
    <row r="256" hidden="1" customFormat="1" s="12">
      <c r="D256" s="13" t="n"/>
      <c r="E256" s="8" t="n"/>
      <c r="F256" s="8" t="n"/>
      <c r="G256" s="8" t="n"/>
      <c r="H256" s="8" t="n"/>
      <c r="I256" s="8" t="n"/>
      <c r="J256" s="8" t="n"/>
      <c r="K256" s="8" t="n"/>
      <c r="L256" s="8" t="n"/>
      <c r="M256" s="8" t="n"/>
      <c r="N256" s="8" t="n"/>
      <c r="O256" s="8" t="n"/>
      <c r="P256" s="8" t="n"/>
      <c r="Q256" s="8" t="n"/>
      <c r="R256" s="8" t="n"/>
      <c r="S256" s="8" t="n"/>
      <c r="T256" s="8" t="n"/>
      <c r="U256" s="8" t="n"/>
      <c r="V256" s="8" t="n"/>
      <c r="W256" s="8" t="n"/>
      <c r="X256" s="8" t="n"/>
      <c r="Y256" s="8" t="n"/>
      <c r="Z256" s="8" t="n"/>
      <c r="AA256" s="8" t="n"/>
      <c r="AB256" s="8" t="n"/>
      <c r="AC256" s="8" t="n"/>
      <c r="AD256" s="8" t="n"/>
      <c r="AE256" s="8" t="n"/>
      <c r="AF256" s="8" t="n"/>
      <c r="AG256" s="8" t="n"/>
      <c r="AH256" s="8" t="n"/>
      <c r="AI256" s="8" t="n"/>
      <c r="AJ256" s="8" t="n"/>
      <c r="AK256" s="8" t="n"/>
      <c r="AL256" s="8" t="n"/>
      <c r="AM256" s="8" t="n"/>
      <c r="AN256" s="8" t="n"/>
      <c r="AO256" s="8" t="n"/>
      <c r="AP256" s="8" t="n"/>
      <c r="AQ256" s="8" t="n"/>
      <c r="AR256" s="8" t="n"/>
      <c r="AS256" s="8" t="n"/>
      <c r="AT256" s="8" t="n"/>
      <c r="AU256" s="8" t="n"/>
      <c r="AV256" s="8" t="n"/>
      <c r="AW256" s="8" t="n"/>
      <c r="AX256" s="8" t="n"/>
      <c r="AY256" s="8" t="n"/>
      <c r="AZ256" s="8" t="n"/>
    </row>
    <row r="257" hidden="1" customFormat="1" s="12">
      <c r="D257" s="13" t="n"/>
      <c r="E257" s="8" t="n"/>
      <c r="F257" s="8" t="n"/>
      <c r="G257" s="8" t="n"/>
      <c r="H257" s="8" t="n"/>
      <c r="I257" s="8" t="n"/>
      <c r="J257" s="8" t="n"/>
      <c r="K257" s="8" t="n"/>
      <c r="L257" s="8" t="n"/>
      <c r="M257" s="8" t="n"/>
      <c r="N257" s="8" t="n"/>
      <c r="O257" s="8" t="n"/>
      <c r="P257" s="8" t="n"/>
      <c r="Q257" s="8" t="n"/>
      <c r="R257" s="8" t="n"/>
      <c r="S257" s="8" t="n"/>
      <c r="T257" s="8" t="n"/>
      <c r="U257" s="8" t="n"/>
      <c r="V257" s="8" t="n"/>
      <c r="W257" s="8" t="n"/>
      <c r="X257" s="8" t="n"/>
      <c r="Y257" s="8" t="n"/>
      <c r="Z257" s="8" t="n"/>
      <c r="AA257" s="8" t="n"/>
      <c r="AB257" s="8" t="n"/>
      <c r="AC257" s="8" t="n"/>
      <c r="AD257" s="8" t="n"/>
      <c r="AE257" s="8" t="n"/>
      <c r="AF257" s="8" t="n"/>
      <c r="AG257" s="8" t="n"/>
      <c r="AH257" s="8" t="n"/>
      <c r="AI257" s="8" t="n"/>
      <c r="AJ257" s="8" t="n"/>
      <c r="AK257" s="8" t="n"/>
      <c r="AL257" s="8" t="n"/>
      <c r="AM257" s="8" t="n"/>
      <c r="AN257" s="8" t="n"/>
      <c r="AO257" s="8" t="n"/>
      <c r="AP257" s="8" t="n"/>
      <c r="AQ257" s="8" t="n"/>
      <c r="AR257" s="8" t="n"/>
      <c r="AS257" s="8" t="n"/>
      <c r="AT257" s="8" t="n"/>
      <c r="AU257" s="8" t="n"/>
      <c r="AV257" s="8" t="n"/>
      <c r="AW257" s="8" t="n"/>
      <c r="AX257" s="8" t="n"/>
      <c r="AY257" s="8" t="n"/>
      <c r="AZ257" s="8" t="n"/>
    </row>
    <row r="258" hidden="1" customFormat="1" s="12">
      <c r="D258" s="13" t="n"/>
      <c r="E258" s="8" t="n"/>
      <c r="F258" s="8" t="n"/>
      <c r="G258" s="8" t="n"/>
      <c r="H258" s="8" t="n"/>
      <c r="I258" s="8" t="n"/>
      <c r="J258" s="8" t="n"/>
      <c r="K258" s="8" t="n"/>
      <c r="L258" s="8" t="n"/>
      <c r="M258" s="8" t="n"/>
      <c r="N258" s="8" t="n"/>
      <c r="O258" s="8" t="n"/>
      <c r="P258" s="8" t="n"/>
      <c r="Q258" s="8" t="n"/>
      <c r="R258" s="8" t="n"/>
      <c r="S258" s="8" t="n"/>
      <c r="T258" s="8" t="n"/>
      <c r="U258" s="8" t="n"/>
      <c r="V258" s="8" t="n"/>
      <c r="W258" s="8" t="n"/>
      <c r="X258" s="8" t="n"/>
      <c r="Y258" s="8" t="n"/>
      <c r="Z258" s="8" t="n"/>
      <c r="AA258" s="8" t="n"/>
      <c r="AB258" s="8" t="n"/>
      <c r="AC258" s="8" t="n"/>
      <c r="AD258" s="8" t="n"/>
      <c r="AE258" s="8" t="n"/>
      <c r="AF258" s="8" t="n"/>
      <c r="AG258" s="8" t="n"/>
      <c r="AH258" s="8" t="n"/>
      <c r="AI258" s="8" t="n"/>
      <c r="AJ258" s="8" t="n"/>
      <c r="AK258" s="8" t="n"/>
      <c r="AL258" s="8" t="n"/>
      <c r="AM258" s="8" t="n"/>
      <c r="AN258" s="8" t="n"/>
      <c r="AO258" s="8" t="n"/>
      <c r="AP258" s="8" t="n"/>
      <c r="AQ258" s="8" t="n"/>
      <c r="AR258" s="8" t="n"/>
      <c r="AS258" s="8" t="n"/>
      <c r="AT258" s="8" t="n"/>
      <c r="AU258" s="8" t="n"/>
      <c r="AV258" s="8" t="n"/>
      <c r="AW258" s="8" t="n"/>
      <c r="AX258" s="8" t="n"/>
      <c r="AY258" s="8" t="n"/>
      <c r="AZ258" s="8" t="n"/>
    </row>
    <row r="259" hidden="1" customFormat="1" s="12">
      <c r="D259" s="13" t="n"/>
      <c r="E259" s="8" t="n"/>
      <c r="F259" s="8" t="n"/>
      <c r="G259" s="8" t="n"/>
      <c r="H259" s="8" t="n"/>
      <c r="I259" s="8" t="n"/>
      <c r="J259" s="8" t="n"/>
      <c r="K259" s="8" t="n"/>
      <c r="L259" s="8" t="n"/>
      <c r="M259" s="8" t="n"/>
      <c r="N259" s="8" t="n"/>
      <c r="O259" s="8" t="n"/>
      <c r="P259" s="8" t="n"/>
      <c r="Q259" s="8" t="n"/>
      <c r="R259" s="8" t="n"/>
      <c r="S259" s="8" t="n"/>
      <c r="T259" s="8" t="n"/>
      <c r="U259" s="8" t="n"/>
      <c r="V259" s="8" t="n"/>
      <c r="W259" s="8" t="n"/>
      <c r="X259" s="8" t="n"/>
      <c r="Y259" s="8" t="n"/>
      <c r="Z259" s="8" t="n"/>
      <c r="AA259" s="8" t="n"/>
      <c r="AB259" s="8" t="n"/>
      <c r="AC259" s="8" t="n"/>
      <c r="AD259" s="8" t="n"/>
      <c r="AE259" s="8" t="n"/>
      <c r="AF259" s="8" t="n"/>
      <c r="AG259" s="8" t="n"/>
      <c r="AH259" s="8" t="n"/>
      <c r="AI259" s="8" t="n"/>
      <c r="AJ259" s="8" t="n"/>
      <c r="AK259" s="8" t="n"/>
      <c r="AL259" s="8" t="n"/>
      <c r="AM259" s="8" t="n"/>
      <c r="AN259" s="8" t="n"/>
      <c r="AO259" s="8" t="n"/>
      <c r="AP259" s="8" t="n"/>
      <c r="AQ259" s="8" t="n"/>
      <c r="AR259" s="8" t="n"/>
      <c r="AS259" s="8" t="n"/>
      <c r="AT259" s="8" t="n"/>
      <c r="AU259" s="8" t="n"/>
      <c r="AV259" s="8" t="n"/>
      <c r="AW259" s="8" t="n"/>
      <c r="AX259" s="8" t="n"/>
      <c r="AY259" s="8" t="n"/>
      <c r="AZ259" s="8" t="n"/>
    </row>
    <row r="260" hidden="1" customFormat="1" s="12">
      <c r="D260" s="13" t="n"/>
      <c r="E260" s="8" t="n"/>
      <c r="F260" s="8" t="n"/>
      <c r="G260" s="8" t="n"/>
      <c r="H260" s="8" t="n"/>
      <c r="I260" s="8" t="n"/>
      <c r="J260" s="8" t="n"/>
      <c r="K260" s="8" t="n"/>
      <c r="L260" s="8" t="n"/>
      <c r="M260" s="8" t="n"/>
      <c r="N260" s="8" t="n"/>
      <c r="O260" s="8" t="n"/>
      <c r="P260" s="8" t="n"/>
      <c r="Q260" s="8" t="n"/>
      <c r="R260" s="8" t="n"/>
      <c r="S260" s="8" t="n"/>
      <c r="T260" s="8" t="n"/>
      <c r="U260" s="8" t="n"/>
      <c r="V260" s="8" t="n"/>
      <c r="W260" s="8" t="n"/>
      <c r="X260" s="8" t="n"/>
      <c r="Y260" s="8" t="n"/>
      <c r="Z260" s="8" t="n"/>
      <c r="AA260" s="8" t="n"/>
      <c r="AB260" s="8" t="n"/>
      <c r="AC260" s="8" t="n"/>
      <c r="AD260" s="8" t="n"/>
      <c r="AE260" s="8" t="n"/>
      <c r="AF260" s="8" t="n"/>
      <c r="AG260" s="8" t="n"/>
      <c r="AH260" s="8" t="n"/>
      <c r="AI260" s="8" t="n"/>
      <c r="AJ260" s="8" t="n"/>
      <c r="AK260" s="8" t="n"/>
      <c r="AL260" s="8" t="n"/>
      <c r="AM260" s="8" t="n"/>
      <c r="AN260" s="8" t="n"/>
      <c r="AO260" s="8" t="n"/>
      <c r="AP260" s="8" t="n"/>
      <c r="AQ260" s="8" t="n"/>
      <c r="AR260" s="8" t="n"/>
      <c r="AS260" s="8" t="n"/>
      <c r="AT260" s="8" t="n"/>
      <c r="AU260" s="8" t="n"/>
      <c r="AV260" s="8" t="n"/>
      <c r="AW260" s="8" t="n"/>
      <c r="AX260" s="8" t="n"/>
      <c r="AY260" s="8" t="n"/>
      <c r="AZ260" s="8" t="n"/>
    </row>
    <row r="261" hidden="1" customFormat="1" s="12">
      <c r="D261" s="13" t="n"/>
      <c r="E261" s="8" t="n"/>
      <c r="F261" s="8" t="n"/>
      <c r="G261" s="8" t="n"/>
      <c r="H261" s="8" t="n"/>
      <c r="I261" s="8" t="n"/>
      <c r="J261" s="8" t="n"/>
      <c r="K261" s="8" t="n"/>
      <c r="L261" s="8" t="n"/>
      <c r="M261" s="8" t="n"/>
      <c r="N261" s="8" t="n"/>
      <c r="O261" s="8" t="n"/>
      <c r="P261" s="8" t="n"/>
      <c r="Q261" s="8" t="n"/>
      <c r="R261" s="8" t="n"/>
      <c r="S261" s="8" t="n"/>
      <c r="T261" s="8" t="n"/>
      <c r="U261" s="8" t="n"/>
      <c r="V261" s="8" t="n"/>
      <c r="W261" s="8" t="n"/>
      <c r="X261" s="8" t="n"/>
      <c r="Y261" s="8" t="n"/>
      <c r="Z261" s="8" t="n"/>
      <c r="AA261" s="8" t="n"/>
      <c r="AB261" s="8" t="n"/>
      <c r="AC261" s="8" t="n"/>
      <c r="AD261" s="8" t="n"/>
      <c r="AE261" s="8" t="n"/>
      <c r="AF261" s="8" t="n"/>
      <c r="AG261" s="8" t="n"/>
      <c r="AH261" s="8" t="n"/>
      <c r="AI261" s="8" t="n"/>
      <c r="AJ261" s="8" t="n"/>
      <c r="AK261" s="8" t="n"/>
      <c r="AL261" s="8" t="n"/>
      <c r="AM261" s="8" t="n"/>
      <c r="AN261" s="8" t="n"/>
      <c r="AO261" s="8" t="n"/>
      <c r="AP261" s="8" t="n"/>
      <c r="AQ261" s="8" t="n"/>
      <c r="AR261" s="8" t="n"/>
      <c r="AS261" s="8" t="n"/>
      <c r="AT261" s="8" t="n"/>
      <c r="AU261" s="8" t="n"/>
      <c r="AV261" s="8" t="n"/>
      <c r="AW261" s="8" t="n"/>
      <c r="AX261" s="8" t="n"/>
      <c r="AY261" s="8" t="n"/>
      <c r="AZ261" s="8" t="n"/>
    </row>
    <row r="262" hidden="1" customFormat="1" s="12">
      <c r="D262" s="13" t="n"/>
      <c r="E262" s="8" t="n"/>
      <c r="F262" s="8" t="n"/>
      <c r="G262" s="8" t="n"/>
      <c r="H262" s="8" t="n"/>
      <c r="I262" s="8" t="n"/>
      <c r="J262" s="8" t="n"/>
      <c r="K262" s="8" t="n"/>
      <c r="L262" s="8" t="n"/>
      <c r="M262" s="8" t="n"/>
      <c r="N262" s="8" t="n"/>
      <c r="O262" s="8" t="n"/>
      <c r="P262" s="8" t="n"/>
      <c r="Q262" s="8" t="n"/>
      <c r="R262" s="8" t="n"/>
      <c r="S262" s="8" t="n"/>
      <c r="T262" s="8" t="n"/>
      <c r="U262" s="8" t="n"/>
      <c r="V262" s="8" t="n"/>
      <c r="W262" s="8" t="n"/>
      <c r="X262" s="8" t="n"/>
      <c r="Y262" s="8" t="n"/>
      <c r="Z262" s="8" t="n"/>
      <c r="AA262" s="8" t="n"/>
      <c r="AB262" s="8" t="n"/>
      <c r="AC262" s="8" t="n"/>
      <c r="AD262" s="8" t="n"/>
      <c r="AE262" s="8" t="n"/>
      <c r="AF262" s="8" t="n"/>
      <c r="AG262" s="8" t="n"/>
      <c r="AH262" s="8" t="n"/>
      <c r="AI262" s="8" t="n"/>
      <c r="AJ262" s="8" t="n"/>
      <c r="AK262" s="8" t="n"/>
      <c r="AL262" s="8" t="n"/>
      <c r="AM262" s="8" t="n"/>
      <c r="AN262" s="8" t="n"/>
      <c r="AO262" s="8" t="n"/>
      <c r="AP262" s="8" t="n"/>
      <c r="AQ262" s="8" t="n"/>
      <c r="AR262" s="8" t="n"/>
      <c r="AS262" s="8" t="n"/>
      <c r="AT262" s="8" t="n"/>
      <c r="AU262" s="8" t="n"/>
      <c r="AV262" s="8" t="n"/>
      <c r="AW262" s="8" t="n"/>
      <c r="AX262" s="8" t="n"/>
      <c r="AY262" s="8" t="n"/>
      <c r="AZ262" s="8" t="n"/>
    </row>
    <row r="263" hidden="1" customFormat="1" s="12">
      <c r="D263" s="13" t="n"/>
      <c r="E263" s="8" t="n"/>
      <c r="F263" s="8" t="n"/>
      <c r="G263" s="8" t="n"/>
      <c r="H263" s="8" t="n"/>
      <c r="I263" s="8" t="n"/>
      <c r="J263" s="8" t="n"/>
      <c r="K263" s="8" t="n"/>
      <c r="L263" s="8" t="n"/>
      <c r="M263" s="8" t="n"/>
      <c r="N263" s="8" t="n"/>
      <c r="O263" s="8" t="n"/>
      <c r="P263" s="8" t="n"/>
      <c r="Q263" s="8" t="n"/>
      <c r="R263" s="8" t="n"/>
      <c r="S263" s="8" t="n"/>
      <c r="T263" s="8" t="n"/>
      <c r="U263" s="8" t="n"/>
      <c r="V263" s="8" t="n"/>
      <c r="W263" s="8" t="n"/>
      <c r="X263" s="8" t="n"/>
      <c r="Y263" s="8" t="n"/>
      <c r="Z263" s="8" t="n"/>
      <c r="AA263" s="8" t="n"/>
      <c r="AB263" s="8" t="n"/>
      <c r="AC263" s="8" t="n"/>
      <c r="AD263" s="8" t="n"/>
      <c r="AE263" s="8" t="n"/>
      <c r="AF263" s="8" t="n"/>
      <c r="AG263" s="8" t="n"/>
      <c r="AH263" s="8" t="n"/>
      <c r="AI263" s="8" t="n"/>
      <c r="AJ263" s="8" t="n"/>
      <c r="AK263" s="8" t="n"/>
      <c r="AL263" s="8" t="n"/>
      <c r="AM263" s="8" t="n"/>
      <c r="AN263" s="8" t="n"/>
      <c r="AO263" s="8" t="n"/>
      <c r="AP263" s="8" t="n"/>
      <c r="AQ263" s="8" t="n"/>
      <c r="AR263" s="8" t="n"/>
      <c r="AS263" s="8" t="n"/>
      <c r="AT263" s="8" t="n"/>
      <c r="AU263" s="8" t="n"/>
      <c r="AV263" s="8" t="n"/>
      <c r="AW263" s="8" t="n"/>
      <c r="AX263" s="8" t="n"/>
      <c r="AY263" s="8" t="n"/>
      <c r="AZ263" s="8" t="n"/>
    </row>
    <row r="264" hidden="1" customFormat="1" s="12">
      <c r="D264" s="13" t="n"/>
      <c r="E264" s="8" t="n"/>
      <c r="F264" s="8" t="n"/>
      <c r="G264" s="8" t="n"/>
      <c r="H264" s="8" t="n"/>
      <c r="I264" s="8" t="n"/>
      <c r="J264" s="8" t="n"/>
      <c r="K264" s="8" t="n"/>
      <c r="L264" s="8" t="n"/>
      <c r="M264" s="8" t="n"/>
      <c r="N264" s="8" t="n"/>
      <c r="O264" s="8" t="n"/>
      <c r="P264" s="8" t="n"/>
      <c r="Q264" s="8" t="n"/>
      <c r="R264" s="8" t="n"/>
      <c r="S264" s="8" t="n"/>
      <c r="T264" s="8" t="n"/>
      <c r="U264" s="8" t="n"/>
      <c r="V264" s="8" t="n"/>
      <c r="W264" s="8" t="n"/>
      <c r="X264" s="8" t="n"/>
      <c r="Y264" s="8" t="n"/>
      <c r="Z264" s="8" t="n"/>
      <c r="AA264" s="8" t="n"/>
      <c r="AB264" s="8" t="n"/>
      <c r="AC264" s="8" t="n"/>
      <c r="AD264" s="8" t="n"/>
      <c r="AE264" s="8" t="n"/>
      <c r="AF264" s="8" t="n"/>
      <c r="AG264" s="8" t="n"/>
      <c r="AH264" s="8" t="n"/>
      <c r="AI264" s="8" t="n"/>
      <c r="AJ264" s="8" t="n"/>
      <c r="AK264" s="8" t="n"/>
      <c r="AL264" s="8" t="n"/>
      <c r="AM264" s="8" t="n"/>
      <c r="AN264" s="8" t="n"/>
      <c r="AO264" s="8" t="n"/>
      <c r="AP264" s="8" t="n"/>
      <c r="AQ264" s="8" t="n"/>
      <c r="AR264" s="8" t="n"/>
      <c r="AS264" s="8" t="n"/>
      <c r="AT264" s="8" t="n"/>
      <c r="AU264" s="8" t="n"/>
      <c r="AV264" s="8" t="n"/>
      <c r="AW264" s="8" t="n"/>
      <c r="AX264" s="8" t="n"/>
      <c r="AY264" s="8" t="n"/>
      <c r="AZ264" s="8" t="n"/>
    </row>
    <row r="265" hidden="1" customFormat="1" s="12">
      <c r="D265" s="13" t="n"/>
      <c r="E265" s="8" t="n"/>
      <c r="F265" s="8" t="n"/>
      <c r="G265" s="8" t="n"/>
      <c r="H265" s="8" t="n"/>
      <c r="I265" s="8" t="n"/>
      <c r="J265" s="8" t="n"/>
      <c r="K265" s="8" t="n"/>
      <c r="L265" s="8" t="n"/>
      <c r="M265" s="8" t="n"/>
      <c r="N265" s="8" t="n"/>
      <c r="O265" s="8" t="n"/>
      <c r="P265" s="8" t="n"/>
      <c r="Q265" s="8" t="n"/>
      <c r="R265" s="8" t="n"/>
      <c r="S265" s="8" t="n"/>
      <c r="T265" s="8" t="n"/>
      <c r="U265" s="8" t="n"/>
      <c r="V265" s="8" t="n"/>
      <c r="W265" s="8" t="n"/>
      <c r="X265" s="8" t="n"/>
      <c r="Y265" s="8" t="n"/>
      <c r="Z265" s="8" t="n"/>
      <c r="AA265" s="8" t="n"/>
      <c r="AB265" s="8" t="n"/>
      <c r="AC265" s="8" t="n"/>
      <c r="AD265" s="8" t="n"/>
      <c r="AE265" s="8" t="n"/>
      <c r="AF265" s="8" t="n"/>
      <c r="AG265" s="8" t="n"/>
      <c r="AH265" s="8" t="n"/>
      <c r="AI265" s="8" t="n"/>
      <c r="AJ265" s="8" t="n"/>
      <c r="AK265" s="8" t="n"/>
      <c r="AL265" s="8" t="n"/>
      <c r="AM265" s="8" t="n"/>
      <c r="AN265" s="8" t="n"/>
      <c r="AO265" s="8" t="n"/>
      <c r="AP265" s="8" t="n"/>
      <c r="AQ265" s="8" t="n"/>
      <c r="AR265" s="8" t="n"/>
      <c r="AS265" s="8" t="n"/>
      <c r="AT265" s="8" t="n"/>
      <c r="AU265" s="8" t="n"/>
      <c r="AV265" s="8" t="n"/>
      <c r="AW265" s="8" t="n"/>
      <c r="AX265" s="8" t="n"/>
      <c r="AY265" s="8" t="n"/>
      <c r="AZ265" s="8" t="n"/>
    </row>
    <row r="266" hidden="1" customFormat="1" s="12">
      <c r="D266" s="13" t="n"/>
      <c r="E266" s="8" t="n"/>
      <c r="F266" s="8" t="n"/>
      <c r="G266" s="8" t="n"/>
      <c r="H266" s="8" t="n"/>
      <c r="I266" s="8" t="n"/>
      <c r="J266" s="8" t="n"/>
      <c r="K266" s="8" t="n"/>
      <c r="L266" s="8" t="n"/>
      <c r="M266" s="8" t="n"/>
      <c r="N266" s="8" t="n"/>
      <c r="O266" s="8" t="n"/>
      <c r="P266" s="8" t="n"/>
      <c r="Q266" s="8" t="n"/>
      <c r="R266" s="8" t="n"/>
      <c r="S266" s="8" t="n"/>
      <c r="T266" s="8" t="n"/>
      <c r="U266" s="8" t="n"/>
      <c r="V266" s="8" t="n"/>
      <c r="W266" s="8" t="n"/>
      <c r="X266" s="8" t="n"/>
      <c r="Y266" s="8" t="n"/>
      <c r="Z266" s="8" t="n"/>
      <c r="AA266" s="8" t="n"/>
      <c r="AB266" s="8" t="n"/>
      <c r="AC266" s="8" t="n"/>
      <c r="AD266" s="8" t="n"/>
      <c r="AE266" s="8" t="n"/>
      <c r="AF266" s="8" t="n"/>
      <c r="AG266" s="8" t="n"/>
      <c r="AH266" s="8" t="n"/>
      <c r="AI266" s="8" t="n"/>
      <c r="AJ266" s="8" t="n"/>
      <c r="AK266" s="8" t="n"/>
      <c r="AL266" s="8" t="n"/>
      <c r="AM266" s="8" t="n"/>
      <c r="AN266" s="8" t="n"/>
      <c r="AO266" s="8" t="n"/>
      <c r="AP266" s="8" t="n"/>
      <c r="AQ266" s="8" t="n"/>
      <c r="AR266" s="8" t="n"/>
      <c r="AS266" s="8" t="n"/>
      <c r="AT266" s="8" t="n"/>
      <c r="AU266" s="8" t="n"/>
      <c r="AV266" s="8" t="n"/>
      <c r="AW266" s="8" t="n"/>
      <c r="AX266" s="8" t="n"/>
      <c r="AY266" s="8" t="n"/>
      <c r="AZ266" s="8" t="n"/>
    </row>
    <row r="267" hidden="1" customFormat="1" s="12">
      <c r="D267" s="13" t="n"/>
      <c r="E267" s="8" t="n"/>
      <c r="F267" s="8" t="n"/>
      <c r="G267" s="8" t="n"/>
      <c r="H267" s="8" t="n"/>
      <c r="I267" s="8" t="n"/>
      <c r="J267" s="8" t="n"/>
      <c r="K267" s="8" t="n"/>
      <c r="L267" s="8" t="n"/>
      <c r="M267" s="8" t="n"/>
      <c r="N267" s="8" t="n"/>
      <c r="O267" s="8" t="n"/>
      <c r="P267" s="8" t="n"/>
      <c r="Q267" s="8" t="n"/>
      <c r="R267" s="8" t="n"/>
      <c r="S267" s="8" t="n"/>
      <c r="T267" s="8" t="n"/>
      <c r="U267" s="8" t="n"/>
      <c r="V267" s="8" t="n"/>
      <c r="W267" s="8" t="n"/>
      <c r="X267" s="8" t="n"/>
      <c r="Y267" s="8" t="n"/>
      <c r="Z267" s="8" t="n"/>
      <c r="AA267" s="8" t="n"/>
      <c r="AB267" s="8" t="n"/>
      <c r="AC267" s="8" t="n"/>
      <c r="AD267" s="8" t="n"/>
      <c r="AE267" s="8" t="n"/>
      <c r="AF267" s="8" t="n"/>
      <c r="AG267" s="8" t="n"/>
      <c r="AH267" s="8" t="n"/>
      <c r="AI267" s="8" t="n"/>
      <c r="AJ267" s="8" t="n"/>
      <c r="AK267" s="8" t="n"/>
      <c r="AL267" s="8" t="n"/>
      <c r="AM267" s="8" t="n"/>
      <c r="AN267" s="8" t="n"/>
      <c r="AO267" s="8" t="n"/>
      <c r="AP267" s="8" t="n"/>
      <c r="AQ267" s="8" t="n"/>
      <c r="AR267" s="8" t="n"/>
      <c r="AS267" s="8" t="n"/>
      <c r="AT267" s="8" t="n"/>
      <c r="AU267" s="8" t="n"/>
      <c r="AV267" s="8" t="n"/>
      <c r="AW267" s="8" t="n"/>
      <c r="AX267" s="8" t="n"/>
      <c r="AY267" s="8" t="n"/>
      <c r="AZ267" s="8" t="n"/>
    </row>
    <row r="268" hidden="1" customFormat="1" s="12">
      <c r="D268" s="13" t="n"/>
      <c r="E268" s="8" t="n"/>
      <c r="F268" s="8" t="n"/>
      <c r="G268" s="8" t="n"/>
      <c r="H268" s="8" t="n"/>
      <c r="I268" s="8" t="n"/>
      <c r="J268" s="8" t="n"/>
      <c r="K268" s="8" t="n"/>
      <c r="L268" s="8" t="n"/>
      <c r="M268" s="8" t="n"/>
      <c r="N268" s="8" t="n"/>
      <c r="O268" s="8" t="n"/>
      <c r="P268" s="8" t="n"/>
      <c r="Q268" s="8" t="n"/>
      <c r="R268" s="8" t="n"/>
      <c r="S268" s="8" t="n"/>
      <c r="T268" s="8" t="n"/>
      <c r="U268" s="8" t="n"/>
      <c r="V268" s="8" t="n"/>
      <c r="W268" s="8" t="n"/>
      <c r="X268" s="8" t="n"/>
      <c r="Y268" s="8" t="n"/>
      <c r="Z268" s="8" t="n"/>
      <c r="AA268" s="8" t="n"/>
      <c r="AB268" s="8" t="n"/>
      <c r="AC268" s="8" t="n"/>
      <c r="AD268" s="8" t="n"/>
      <c r="AE268" s="8" t="n"/>
      <c r="AF268" s="8" t="n"/>
      <c r="AG268" s="8" t="n"/>
      <c r="AH268" s="8" t="n"/>
      <c r="AI268" s="8" t="n"/>
      <c r="AJ268" s="8" t="n"/>
      <c r="AK268" s="8" t="n"/>
      <c r="AL268" s="8" t="n"/>
      <c r="AM268" s="8" t="n"/>
      <c r="AN268" s="8" t="n"/>
      <c r="AO268" s="8" t="n"/>
      <c r="AP268" s="8" t="n"/>
      <c r="AQ268" s="8" t="n"/>
      <c r="AR268" s="8" t="n"/>
      <c r="AS268" s="8" t="n"/>
      <c r="AT268" s="8" t="n"/>
      <c r="AU268" s="8" t="n"/>
      <c r="AV268" s="8" t="n"/>
      <c r="AW268" s="8" t="n"/>
      <c r="AX268" s="8" t="n"/>
      <c r="AY268" s="8" t="n"/>
      <c r="AZ268" s="8" t="n"/>
    </row>
    <row r="269" hidden="1" customFormat="1" s="12">
      <c r="D269" s="13" t="n"/>
      <c r="E269" s="8" t="n"/>
      <c r="F269" s="8" t="n"/>
      <c r="G269" s="8" t="n"/>
      <c r="H269" s="8" t="n"/>
      <c r="I269" s="8" t="n"/>
      <c r="J269" s="8" t="n"/>
      <c r="K269" s="8" t="n"/>
      <c r="L269" s="8" t="n"/>
      <c r="M269" s="8" t="n"/>
      <c r="N269" s="8" t="n"/>
      <c r="O269" s="8" t="n"/>
      <c r="P269" s="8" t="n"/>
      <c r="Q269" s="8" t="n"/>
      <c r="R269" s="8" t="n"/>
      <c r="S269" s="8" t="n"/>
      <c r="T269" s="8" t="n"/>
      <c r="U269" s="8" t="n"/>
      <c r="V269" s="8" t="n"/>
      <c r="W269" s="8" t="n"/>
      <c r="X269" s="8" t="n"/>
      <c r="Y269" s="8" t="n"/>
      <c r="Z269" s="8" t="n"/>
      <c r="AA269" s="8" t="n"/>
      <c r="AB269" s="8" t="n"/>
      <c r="AC269" s="8" t="n"/>
      <c r="AD269" s="8" t="n"/>
      <c r="AE269" s="8" t="n"/>
      <c r="AF269" s="8" t="n"/>
      <c r="AG269" s="8" t="n"/>
      <c r="AH269" s="8" t="n"/>
      <c r="AI269" s="8" t="n"/>
      <c r="AJ269" s="8" t="n"/>
      <c r="AK269" s="8" t="n"/>
      <c r="AL269" s="8" t="n"/>
      <c r="AM269" s="8" t="n"/>
      <c r="AN269" s="8" t="n"/>
      <c r="AO269" s="8" t="n"/>
      <c r="AP269" s="8" t="n"/>
      <c r="AQ269" s="8" t="n"/>
      <c r="AR269" s="8" t="n"/>
      <c r="AS269" s="8" t="n"/>
      <c r="AT269" s="8" t="n"/>
      <c r="AU269" s="8" t="n"/>
      <c r="AV269" s="8" t="n"/>
      <c r="AW269" s="8" t="n"/>
      <c r="AX269" s="8" t="n"/>
      <c r="AY269" s="8" t="n"/>
      <c r="AZ269" s="8" t="n"/>
    </row>
    <row r="270" customFormat="1" s="12">
      <c r="D270" s="13" t="n"/>
      <c r="E270" s="232">
        <f>I166/E168</f>
        <v/>
      </c>
      <c r="F270" s="8" t="n"/>
      <c r="G270" s="8" t="n"/>
      <c r="H270" s="8" t="n"/>
      <c r="I270" s="8" t="n"/>
      <c r="J270" s="8" t="n"/>
      <c r="K270" s="8" t="n"/>
      <c r="L270" s="8" t="n"/>
      <c r="M270" s="8" t="n"/>
      <c r="N270" s="8" t="n"/>
      <c r="O270" s="8" t="n"/>
      <c r="P270" s="8" t="n"/>
      <c r="Q270" s="8" t="n"/>
      <c r="R270" s="8" t="n"/>
      <c r="S270" s="8" t="n"/>
      <c r="T270" s="8" t="n"/>
      <c r="U270" s="8" t="n"/>
      <c r="V270" s="8" t="n"/>
      <c r="W270" s="8" t="n"/>
      <c r="X270" s="8" t="n"/>
      <c r="Y270" s="8" t="n"/>
      <c r="Z270" s="8" t="n"/>
      <c r="AA270" s="8" t="n"/>
      <c r="AB270" s="8" t="n"/>
      <c r="AC270" s="8" t="n"/>
      <c r="AD270" s="8" t="n"/>
      <c r="AE270" s="8" t="n"/>
      <c r="AF270" s="8" t="n"/>
      <c r="AG270" s="8" t="n"/>
      <c r="AH270" s="8" t="n"/>
      <c r="AI270" s="8" t="n"/>
      <c r="AJ270" s="8" t="n"/>
      <c r="AK270" s="8" t="n"/>
      <c r="AL270" s="8" t="n"/>
      <c r="AM270" s="8" t="n"/>
      <c r="AN270" s="8" t="n"/>
      <c r="AO270" s="8" t="n"/>
      <c r="AP270" s="8" t="n"/>
      <c r="AQ270" s="8" t="n"/>
      <c r="AR270" s="8" t="n"/>
      <c r="AS270" s="8" t="n"/>
      <c r="AT270" s="8" t="n"/>
      <c r="AU270" s="8" t="n"/>
      <c r="AV270" s="8" t="n"/>
      <c r="AW270" s="8" t="n"/>
      <c r="AX270" s="8" t="n"/>
      <c r="AY270" s="8" t="n"/>
      <c r="AZ270" s="8" t="n"/>
    </row>
    <row r="271" customFormat="1" s="12">
      <c r="D271" s="13" t="n"/>
      <c r="E271" s="8" t="n"/>
      <c r="F271" s="8" t="n"/>
      <c r="G271" s="8" t="n"/>
      <c r="H271" s="8" t="n"/>
      <c r="I271" s="232">
        <f>I166/E168</f>
        <v/>
      </c>
      <c r="J271" s="8" t="n"/>
      <c r="K271" s="8" t="n"/>
      <c r="L271" s="8" t="n"/>
      <c r="M271" s="8" t="n"/>
      <c r="N271" s="8" t="n"/>
      <c r="O271" s="8" t="n"/>
      <c r="P271" s="8" t="n"/>
      <c r="Q271" s="8" t="n"/>
      <c r="R271" s="8" t="n"/>
      <c r="S271" s="8" t="n"/>
      <c r="T271" s="8" t="n"/>
      <c r="U271" s="8" t="n"/>
      <c r="V271" s="8" t="n"/>
      <c r="W271" s="8" t="n"/>
      <c r="X271" s="8" t="n"/>
      <c r="Y271" s="8" t="n"/>
      <c r="Z271" s="8" t="n"/>
      <c r="AA271" s="8" t="n"/>
      <c r="AB271" s="8" t="n"/>
      <c r="AC271" s="8" t="n"/>
      <c r="AD271" s="8" t="n"/>
      <c r="AE271" s="8" t="n"/>
      <c r="AF271" s="8" t="n"/>
      <c r="AG271" s="8" t="n"/>
      <c r="AH271" s="8" t="n"/>
      <c r="AI271" s="8" t="n"/>
      <c r="AJ271" s="8" t="n"/>
      <c r="AK271" s="8" t="n"/>
      <c r="AL271" s="8" t="n"/>
      <c r="AM271" s="8" t="n"/>
      <c r="AN271" s="8" t="n"/>
      <c r="AO271" s="8" t="n"/>
      <c r="AP271" s="8" t="n"/>
      <c r="AQ271" s="8" t="n"/>
      <c r="AR271" s="8" t="n"/>
      <c r="AS271" s="8" t="n"/>
      <c r="AT271" s="8" t="n"/>
      <c r="AU271" s="8" t="n"/>
      <c r="AV271" s="8" t="n"/>
      <c r="AW271" s="8" t="n"/>
      <c r="AX271" s="8" t="n"/>
      <c r="AY271" s="8" t="n"/>
      <c r="AZ271" s="8" t="n"/>
    </row>
    <row r="272" customFormat="1" s="12">
      <c r="D272" s="13" t="n"/>
      <c r="E272" s="8" t="n"/>
      <c r="F272" s="8" t="n"/>
      <c r="G272" s="8" t="n"/>
      <c r="H272" s="8" t="n"/>
      <c r="I272" s="8" t="n"/>
      <c r="J272" s="8" t="n"/>
      <c r="K272" s="8" t="n"/>
      <c r="L272" s="8" t="n"/>
      <c r="M272" s="8" t="n"/>
      <c r="N272" s="8" t="n"/>
      <c r="O272" s="8" t="n"/>
      <c r="P272" s="8" t="n"/>
      <c r="Q272" s="8" t="n"/>
      <c r="R272" s="8" t="n"/>
      <c r="S272" s="8" t="n"/>
      <c r="T272" s="8" t="n"/>
      <c r="U272" s="8" t="n"/>
      <c r="V272" s="8" t="n"/>
      <c r="W272" s="8" t="n"/>
      <c r="X272" s="8" t="n"/>
      <c r="Y272" s="8" t="n"/>
      <c r="Z272" s="8" t="n"/>
      <c r="AA272" s="8" t="n"/>
      <c r="AB272" s="8" t="n"/>
      <c r="AC272" s="8" t="n"/>
      <c r="AD272" s="8" t="n"/>
      <c r="AE272" s="8" t="n"/>
      <c r="AF272" s="8" t="n"/>
      <c r="AG272" s="8" t="n"/>
      <c r="AH272" s="8" t="n"/>
      <c r="AI272" s="8" t="n"/>
      <c r="AJ272" s="8" t="n"/>
      <c r="AK272" s="8" t="n"/>
      <c r="AL272" s="8" t="n"/>
      <c r="AM272" s="8" t="n"/>
      <c r="AN272" s="8" t="n"/>
      <c r="AO272" s="8" t="n"/>
      <c r="AP272" s="8" t="n"/>
      <c r="AQ272" s="8" t="n"/>
      <c r="AR272" s="8" t="n"/>
      <c r="AS272" s="8" t="n"/>
      <c r="AT272" s="8" t="n"/>
      <c r="AU272" s="8" t="n"/>
      <c r="AV272" s="8" t="n"/>
      <c r="AW272" s="8" t="n"/>
      <c r="AX272" s="8" t="n"/>
      <c r="AY272" s="8" t="n"/>
      <c r="AZ272" s="8" t="n"/>
    </row>
    <row r="273" ht="14.45" customHeight="1" s="241">
      <c r="A273" s="9" t="inlineStr">
        <is>
          <t>ثامنا| حسابات المطور</t>
        </is>
      </c>
      <c r="B273" s="9" t="n"/>
      <c r="C273" s="9" t="n"/>
      <c r="D273" s="10" t="n"/>
      <c r="E273" s="11" t="n"/>
      <c r="F273" s="11" t="n"/>
      <c r="G273" s="11" t="n"/>
      <c r="H273" s="11" t="n"/>
      <c r="I273" s="11" t="n"/>
      <c r="J273" s="11" t="n"/>
      <c r="K273" s="11" t="n"/>
      <c r="L273" s="11" t="n"/>
      <c r="M273" s="11" t="n"/>
      <c r="N273" s="11" t="n"/>
      <c r="O273" s="11" t="n"/>
      <c r="P273" s="11" t="n"/>
      <c r="Q273" s="11" t="n"/>
      <c r="R273" s="11" t="n"/>
      <c r="S273" s="11" t="n"/>
      <c r="T273" s="11" t="n"/>
      <c r="U273" s="11" t="n"/>
      <c r="V273" s="11" t="n"/>
      <c r="W273" s="11" t="n"/>
      <c r="X273" s="11" t="n"/>
      <c r="Y273" s="11" t="n"/>
      <c r="Z273" s="11" t="n"/>
      <c r="AA273" s="11" t="n"/>
    </row>
    <row r="274" ht="14.45" customFormat="1" customHeight="1" s="12">
      <c r="D274" s="13" t="n"/>
      <c r="E274" s="8" t="n"/>
      <c r="F274" s="8" t="n"/>
      <c r="G274" s="8" t="n"/>
      <c r="H274" s="8" t="n"/>
      <c r="I274" s="8" t="n"/>
      <c r="J274" s="8" t="n"/>
      <c r="K274" s="8" t="n"/>
      <c r="L274" s="8" t="n"/>
      <c r="M274" s="8" t="n"/>
      <c r="N274" s="8" t="n"/>
      <c r="O274" s="8" t="n"/>
      <c r="P274" s="8" t="n"/>
      <c r="Q274" s="8" t="n"/>
      <c r="R274" s="8" t="n"/>
      <c r="S274" s="8" t="n"/>
      <c r="T274" s="8" t="n"/>
      <c r="U274" s="8" t="n"/>
      <c r="V274" s="8" t="n"/>
      <c r="W274" s="8" t="n"/>
      <c r="X274" s="8" t="n"/>
      <c r="Y274" s="8" t="n"/>
      <c r="Z274" s="8" t="n"/>
      <c r="AA274" s="8" t="n"/>
      <c r="AB274" s="8" t="n"/>
      <c r="AC274" s="8" t="n"/>
      <c r="AD274" s="8" t="n"/>
      <c r="AE274" s="8" t="n"/>
      <c r="AF274" s="8" t="n"/>
      <c r="AG274" s="8" t="n"/>
      <c r="AH274" s="8" t="n"/>
      <c r="AI274" s="8" t="n"/>
      <c r="AJ274" s="8" t="n"/>
      <c r="AK274" s="8" t="n"/>
      <c r="AL274" s="8" t="n"/>
      <c r="AM274" s="8" t="n"/>
      <c r="AN274" s="8" t="n"/>
      <c r="AO274" s="8" t="n"/>
      <c r="AP274" s="8" t="n"/>
      <c r="AQ274" s="8" t="n"/>
      <c r="AR274" s="8" t="n"/>
      <c r="AS274" s="8" t="n"/>
      <c r="AT274" s="8" t="n"/>
      <c r="AU274" s="8" t="n"/>
      <c r="AV274" s="8" t="n"/>
      <c r="AW274" s="8" t="n"/>
      <c r="AX274" s="8" t="n"/>
      <c r="AY274" s="8" t="n"/>
      <c r="AZ274" s="8" t="n"/>
    </row>
    <row r="275" ht="14.45" customFormat="1" customHeight="1" s="12">
      <c r="B275" s="12" t="inlineStr">
        <is>
          <t>التدفق النقدي للمطور</t>
        </is>
      </c>
      <c r="E275" s="153" t="n"/>
      <c r="F275" s="153" t="n"/>
      <c r="G275" s="153" t="n"/>
      <c r="H275" s="153" t="n"/>
      <c r="I275" s="153" t="n"/>
      <c r="J275" s="153" t="n"/>
      <c r="K275" s="153" t="n"/>
      <c r="M275" s="153" t="n"/>
      <c r="N275" s="153" t="n"/>
      <c r="O275" s="153" t="n"/>
      <c r="P275" s="153" t="n"/>
      <c r="Q275" s="8" t="n"/>
      <c r="R275" s="8" t="n"/>
      <c r="S275" s="8" t="n"/>
      <c r="T275" s="8" t="n"/>
      <c r="U275" s="8" t="n"/>
      <c r="V275" s="8" t="n"/>
      <c r="W275" s="8" t="n"/>
      <c r="X275" s="8" t="n"/>
      <c r="Y275" s="8" t="n"/>
      <c r="Z275" s="8" t="n"/>
      <c r="AA275" s="8" t="n"/>
      <c r="AB275" s="8" t="n"/>
      <c r="AC275" s="8" t="n"/>
      <c r="AD275" s="8" t="n"/>
      <c r="AE275" s="8" t="n"/>
      <c r="AF275" s="8" t="n"/>
      <c r="AG275" s="8" t="n"/>
      <c r="AH275" s="8" t="n"/>
      <c r="AI275" s="8" t="n"/>
      <c r="AJ275" s="8" t="n"/>
      <c r="AK275" s="8" t="n"/>
      <c r="AL275" s="8" t="n"/>
      <c r="AM275" s="8" t="n"/>
      <c r="AN275" s="8" t="n"/>
      <c r="AO275" s="8" t="n"/>
      <c r="AP275" s="8" t="n"/>
      <c r="AQ275" s="8" t="n"/>
      <c r="AR275" s="8" t="n"/>
      <c r="AS275" s="8" t="n"/>
      <c r="AT275" s="8" t="n"/>
      <c r="AU275" s="8" t="n"/>
      <c r="AV275" s="8" t="n"/>
      <c r="AW275" s="8" t="n"/>
      <c r="AX275" s="8" t="n"/>
      <c r="AY275" s="8" t="n"/>
      <c r="AZ275" s="8" t="n"/>
    </row>
    <row r="276" ht="14.45" customFormat="1" customHeight="1" s="12">
      <c r="C276" s="59" t="inlineStr">
        <is>
          <t>بيان</t>
        </is>
      </c>
      <c r="D276" s="60" t="n"/>
      <c r="E276" s="120" t="inlineStr">
        <is>
          <t>مساعد</t>
        </is>
      </c>
      <c r="F276" s="60" t="n">
        <v>0</v>
      </c>
      <c r="G276" s="60">
        <f>F276+1</f>
        <v/>
      </c>
      <c r="H276" s="60">
        <f>G276+1</f>
        <v/>
      </c>
      <c r="I276" s="60">
        <f>H276+1</f>
        <v/>
      </c>
      <c r="J276" s="60">
        <f>I276+1</f>
        <v/>
      </c>
      <c r="K276" s="60">
        <f>J276+1</f>
        <v/>
      </c>
      <c r="L276" s="60">
        <f>K276+1</f>
        <v/>
      </c>
      <c r="M276" s="60">
        <f>L276+1</f>
        <v/>
      </c>
      <c r="N276" s="60">
        <f>M276+1</f>
        <v/>
      </c>
      <c r="O276" s="60">
        <f>N276+1</f>
        <v/>
      </c>
      <c r="P276" s="60">
        <f>O276+1</f>
        <v/>
      </c>
      <c r="Q276" s="8" t="n"/>
      <c r="R276" s="8" t="n"/>
      <c r="S276" s="8" t="n"/>
      <c r="T276" s="8" t="n"/>
      <c r="U276" s="8" t="n"/>
      <c r="V276" s="8" t="n"/>
      <c r="W276" s="8" t="n"/>
      <c r="X276" s="8" t="n"/>
      <c r="Y276" s="8" t="n"/>
      <c r="Z276" s="8" t="n"/>
      <c r="AA276" s="8" t="n"/>
      <c r="AB276" s="8" t="n"/>
      <c r="AC276" s="8" t="n"/>
      <c r="AD276" s="8" t="n"/>
      <c r="AE276" s="8" t="n"/>
      <c r="AF276" s="8" t="n"/>
      <c r="AG276" s="8" t="n"/>
      <c r="AH276" s="8" t="n"/>
      <c r="AI276" s="8" t="n"/>
      <c r="AJ276" s="8" t="n"/>
      <c r="AK276" s="8" t="n"/>
      <c r="AL276" s="8" t="n"/>
      <c r="AM276" s="8" t="n"/>
      <c r="AN276" s="8" t="n"/>
      <c r="AO276" s="8" t="n"/>
      <c r="AP276" s="8" t="n"/>
      <c r="AQ276" s="8" t="n"/>
      <c r="AR276" s="8" t="n"/>
      <c r="AS276" s="8" t="n"/>
      <c r="AT276" s="8" t="n"/>
      <c r="AU276" s="8" t="n"/>
      <c r="AV276" s="8" t="n"/>
      <c r="AW276" s="8" t="n"/>
      <c r="AX276" s="8" t="n"/>
      <c r="AY276" s="8" t="n"/>
      <c r="AZ276" s="8" t="n"/>
    </row>
    <row r="277" ht="14.45" customFormat="1" customHeight="1" s="12">
      <c r="D277" s="13" t="inlineStr">
        <is>
          <t>التدفق النقدي - اتعاب التطوير</t>
        </is>
      </c>
      <c r="E277" s="121">
        <f>SUM(F277:P277)</f>
        <v/>
      </c>
      <c r="F277" s="132" t="n"/>
      <c r="G277" s="8">
        <f>G150*$G$58</f>
        <v/>
      </c>
      <c r="H277" s="8">
        <f>H150*$G$58</f>
        <v/>
      </c>
      <c r="I277" s="8">
        <f>I150*$G$58</f>
        <v/>
      </c>
      <c r="J277" s="8">
        <f>J150*$G$58</f>
        <v/>
      </c>
      <c r="K277" s="8">
        <f>K150*$G$58</f>
        <v/>
      </c>
      <c r="L277" s="8">
        <f>L150*$G$58</f>
        <v/>
      </c>
      <c r="M277" s="8">
        <f>M150*$G$58</f>
        <v/>
      </c>
      <c r="N277" s="8">
        <f>N150*$G$58</f>
        <v/>
      </c>
      <c r="O277" s="8">
        <f>O150*$G$58</f>
        <v/>
      </c>
      <c r="P277" s="8">
        <f>P150*$G$58</f>
        <v/>
      </c>
      <c r="Q277" s="8" t="n"/>
      <c r="R277" s="8" t="n"/>
      <c r="S277" s="8" t="n"/>
      <c r="T277" s="8" t="n"/>
      <c r="U277" s="8" t="n"/>
      <c r="V277" s="8" t="n"/>
      <c r="W277" s="8" t="n"/>
      <c r="X277" s="8" t="n"/>
      <c r="Y277" s="8" t="n"/>
      <c r="Z277" s="8" t="n"/>
      <c r="AA277" s="8" t="n"/>
      <c r="AB277" s="8" t="n"/>
      <c r="AC277" s="8" t="n"/>
      <c r="AD277" s="8" t="n"/>
      <c r="AE277" s="8" t="n"/>
      <c r="AF277" s="8" t="n"/>
      <c r="AG277" s="8" t="n"/>
      <c r="AH277" s="8" t="n"/>
      <c r="AI277" s="8" t="n"/>
      <c r="AJ277" s="8" t="n"/>
      <c r="AK277" s="8" t="n"/>
      <c r="AL277" s="8" t="n"/>
      <c r="AM277" s="8" t="n"/>
      <c r="AN277" s="8" t="n"/>
      <c r="AO277" s="8" t="n"/>
      <c r="AP277" s="8" t="n"/>
      <c r="AQ277" s="8" t="n"/>
      <c r="AR277" s="8" t="n"/>
      <c r="AS277" s="8" t="n"/>
      <c r="AT277" s="8" t="n"/>
      <c r="AU277" s="8" t="n"/>
      <c r="AV277" s="8" t="n"/>
      <c r="AW277" s="8" t="n"/>
      <c r="AX277" s="8" t="n"/>
      <c r="AY277" s="8" t="n"/>
      <c r="AZ277" s="8" t="n"/>
    </row>
    <row r="278" ht="14.45" customFormat="1" customHeight="1" s="12">
      <c r="D278" s="13" t="inlineStr">
        <is>
          <t>التدفق النقدي - ربح المقاولة</t>
        </is>
      </c>
      <c r="E278" s="121">
        <f>SUM(F278:P278)</f>
        <v/>
      </c>
      <c r="F278" s="132" t="n"/>
      <c r="G278" s="8">
        <f>G150*$K$53</f>
        <v/>
      </c>
      <c r="H278" s="8">
        <f>H150*$K$53</f>
        <v/>
      </c>
      <c r="I278" s="8">
        <f>I150*$K$53</f>
        <v/>
      </c>
      <c r="J278" s="8">
        <f>J150*$K$53</f>
        <v/>
      </c>
      <c r="K278" s="8">
        <f>K150*$K$53</f>
        <v/>
      </c>
      <c r="L278" s="8">
        <f>L150*$K$53</f>
        <v/>
      </c>
      <c r="M278" s="8">
        <f>M150*$K$53</f>
        <v/>
      </c>
      <c r="N278" s="8">
        <f>N150*$K$53</f>
        <v/>
      </c>
      <c r="O278" s="8">
        <f>O150*$K$53</f>
        <v/>
      </c>
      <c r="P278" s="8">
        <f>P150*$K$53</f>
        <v/>
      </c>
      <c r="Q278" s="8" t="n"/>
      <c r="R278" s="8" t="n"/>
      <c r="S278" s="8" t="n"/>
      <c r="T278" s="8" t="n"/>
      <c r="U278" s="8" t="n"/>
      <c r="V278" s="8" t="n"/>
      <c r="W278" s="8" t="n"/>
      <c r="X278" s="8" t="n"/>
      <c r="Y278" s="8" t="n"/>
      <c r="Z278" s="8" t="n"/>
      <c r="AA278" s="8" t="n"/>
      <c r="AB278" s="8" t="n"/>
      <c r="AC278" s="8" t="n"/>
      <c r="AD278" s="8" t="n"/>
      <c r="AE278" s="8" t="n"/>
      <c r="AF278" s="8" t="n"/>
      <c r="AG278" s="8" t="n"/>
      <c r="AH278" s="8" t="n"/>
      <c r="AI278" s="8" t="n"/>
      <c r="AJ278" s="8" t="n"/>
      <c r="AK278" s="8" t="n"/>
      <c r="AL278" s="8" t="n"/>
      <c r="AM278" s="8" t="n"/>
      <c r="AN278" s="8" t="n"/>
      <c r="AO278" s="8" t="n"/>
      <c r="AP278" s="8" t="n"/>
      <c r="AQ278" s="8" t="n"/>
      <c r="AR278" s="8" t="n"/>
      <c r="AS278" s="8" t="n"/>
      <c r="AT278" s="8" t="n"/>
      <c r="AU278" s="8" t="n"/>
      <c r="AV278" s="8" t="n"/>
      <c r="AW278" s="8" t="n"/>
      <c r="AX278" s="8" t="n"/>
      <c r="AY278" s="8" t="n"/>
      <c r="AZ278" s="8" t="n"/>
    </row>
    <row r="279" ht="14.45" customFormat="1" customHeight="1" s="12">
      <c r="D279" s="13" t="inlineStr">
        <is>
          <t>التدفق النقدي - حافز الأداء</t>
        </is>
      </c>
      <c r="E279" s="121">
        <f>J279</f>
        <v/>
      </c>
      <c r="F279" s="132" t="n"/>
      <c r="G279" s="8">
        <f>IF(G276=$E$119,$E$159,0)</f>
        <v/>
      </c>
      <c r="H279" s="8">
        <f>IF(H276=$E$119,$E$159,0)</f>
        <v/>
      </c>
      <c r="I279" s="8">
        <f>IF(I276=$E$119,$E$159,0)</f>
        <v/>
      </c>
      <c r="J279" s="8">
        <f>IF(J276=$E$119,$E$159,0)</f>
        <v/>
      </c>
      <c r="K279" s="8">
        <f>IF(K276=$E$119,$E$159,0)</f>
        <v/>
      </c>
      <c r="L279" s="8">
        <f>IF(L276=$E$119,$E$159,0)</f>
        <v/>
      </c>
      <c r="M279" s="8">
        <f>IF(M276=$E$119,$E$159,0)</f>
        <v/>
      </c>
      <c r="N279" s="8">
        <f>IF(N276=$E$119,$E$159,0)</f>
        <v/>
      </c>
      <c r="O279" s="8">
        <f>IF(O276=$E$119,$E$159,0)</f>
        <v/>
      </c>
      <c r="P279" s="8">
        <f>IF(P276=$E$119,$E$159,0)</f>
        <v/>
      </c>
      <c r="Q279" s="8" t="n"/>
      <c r="R279" s="8" t="n"/>
      <c r="S279" s="8" t="n"/>
      <c r="T279" s="8" t="n"/>
      <c r="U279" s="8" t="n"/>
      <c r="V279" s="8" t="n"/>
      <c r="W279" s="8" t="n"/>
      <c r="X279" s="8" t="n"/>
      <c r="Y279" s="8" t="n"/>
      <c r="Z279" s="8" t="n"/>
      <c r="AA279" s="8" t="n"/>
      <c r="AB279" s="8" t="n"/>
      <c r="AC279" s="8" t="n"/>
      <c r="AD279" s="8" t="n"/>
      <c r="AE279" s="8" t="n"/>
      <c r="AF279" s="8" t="n"/>
      <c r="AG279" s="8" t="n"/>
      <c r="AH279" s="8" t="n"/>
      <c r="AI279" s="8" t="n"/>
      <c r="AJ279" s="8" t="n"/>
      <c r="AK279" s="8" t="n"/>
      <c r="AL279" s="8" t="n"/>
      <c r="AM279" s="8" t="n"/>
      <c r="AN279" s="8" t="n"/>
      <c r="AO279" s="8" t="n"/>
      <c r="AP279" s="8" t="n"/>
      <c r="AQ279" s="8" t="n"/>
      <c r="AR279" s="8" t="n"/>
      <c r="AS279" s="8" t="n"/>
      <c r="AT279" s="8" t="n"/>
      <c r="AU279" s="8" t="n"/>
      <c r="AV279" s="8" t="n"/>
      <c r="AW279" s="8" t="n"/>
      <c r="AX279" s="8" t="n"/>
      <c r="AY279" s="8" t="n"/>
      <c r="AZ279" s="8" t="n"/>
    </row>
    <row r="280" ht="14.45" customFormat="1" customHeight="1" s="12">
      <c r="C280" s="237" t="n"/>
      <c r="D280" s="237" t="inlineStr">
        <is>
          <t>صافي التدفق النقدي -  للمطور</t>
        </is>
      </c>
      <c r="E280" s="238">
        <f>SUM(F280:P280)</f>
        <v/>
      </c>
      <c r="F280" s="239">
        <f>SUM(F277:F279)</f>
        <v/>
      </c>
      <c r="G280" s="239">
        <f>SUM(G277:G279)</f>
        <v/>
      </c>
      <c r="H280" s="239">
        <f>SUM(H277:H279)</f>
        <v/>
      </c>
      <c r="I280" s="239">
        <f>SUM(I277:I279)</f>
        <v/>
      </c>
      <c r="J280" s="239">
        <f>SUM(J277:J279)</f>
        <v/>
      </c>
      <c r="K280" s="239">
        <f>SUM(K277:K279)</f>
        <v/>
      </c>
      <c r="L280" s="239">
        <f>SUM(L277:L279)</f>
        <v/>
      </c>
      <c r="M280" s="239">
        <f>SUM(M277:M279)</f>
        <v/>
      </c>
      <c r="N280" s="239">
        <f>SUM(N277:N279)</f>
        <v/>
      </c>
      <c r="O280" s="239">
        <f>SUM(O277:O279)</f>
        <v/>
      </c>
      <c r="P280" s="239">
        <f>SUM(P277:P279)</f>
        <v/>
      </c>
      <c r="Q280" s="8" t="n"/>
      <c r="R280" s="8" t="n"/>
      <c r="S280" s="8" t="n"/>
      <c r="T280" s="8" t="n"/>
      <c r="U280" s="8" t="n"/>
      <c r="V280" s="8" t="n"/>
      <c r="W280" s="8" t="n"/>
      <c r="X280" s="8" t="n"/>
      <c r="Y280" s="8" t="n"/>
      <c r="Z280" s="8" t="n"/>
      <c r="AA280" s="8" t="n"/>
      <c r="AB280" s="8" t="n"/>
      <c r="AC280" s="8" t="n"/>
      <c r="AD280" s="8" t="n"/>
      <c r="AE280" s="8" t="n"/>
      <c r="AF280" s="8" t="n"/>
      <c r="AG280" s="8" t="n"/>
      <c r="AH280" s="8" t="n"/>
      <c r="AI280" s="8" t="n"/>
      <c r="AJ280" s="8" t="n"/>
      <c r="AK280" s="8" t="n"/>
      <c r="AL280" s="8" t="n"/>
      <c r="AM280" s="8" t="n"/>
      <c r="AN280" s="8" t="n"/>
      <c r="AO280" s="8" t="n"/>
      <c r="AP280" s="8" t="n"/>
      <c r="AQ280" s="8" t="n"/>
      <c r="AR280" s="8" t="n"/>
      <c r="AS280" s="8" t="n"/>
      <c r="AT280" s="8" t="n"/>
      <c r="AU280" s="8" t="n"/>
      <c r="AV280" s="8" t="n"/>
      <c r="AW280" s="8" t="n"/>
      <c r="AX280" s="8" t="n"/>
      <c r="AY280" s="8" t="n"/>
      <c r="AZ280" s="8" t="n"/>
    </row>
    <row r="281" customFormat="1" s="12">
      <c r="D281" s="13" t="n"/>
      <c r="E281" s="8" t="n"/>
      <c r="F281" s="8" t="n"/>
      <c r="G281" s="8" t="n"/>
      <c r="H281" s="8" t="n"/>
      <c r="I281" s="8" t="n"/>
      <c r="J281" s="8" t="n"/>
      <c r="K281" s="8" t="n"/>
      <c r="L281" s="8" t="n"/>
      <c r="M281" s="8" t="n"/>
      <c r="N281" s="8" t="n"/>
      <c r="O281" s="8" t="n"/>
      <c r="P281" s="8" t="n"/>
      <c r="Q281" s="8" t="n"/>
      <c r="R281" s="8" t="n"/>
      <c r="S281" s="8" t="n"/>
      <c r="T281" s="8" t="n"/>
      <c r="U281" s="8" t="n"/>
      <c r="V281" s="8" t="n"/>
      <c r="W281" s="8" t="n"/>
      <c r="X281" s="8" t="n"/>
      <c r="Y281" s="8" t="n"/>
      <c r="Z281" s="8" t="n"/>
      <c r="AA281" s="8" t="n"/>
      <c r="AB281" s="8" t="n"/>
      <c r="AC281" s="8" t="n"/>
      <c r="AD281" s="8" t="n"/>
      <c r="AE281" s="8" t="n"/>
      <c r="AF281" s="8" t="n"/>
      <c r="AG281" s="8" t="n"/>
      <c r="AH281" s="8" t="n"/>
      <c r="AI281" s="8" t="n"/>
      <c r="AJ281" s="8" t="n"/>
      <c r="AK281" s="8" t="n"/>
      <c r="AL281" s="8" t="n"/>
      <c r="AM281" s="8" t="n"/>
      <c r="AN281" s="8" t="n"/>
      <c r="AO281" s="8" t="n"/>
      <c r="AP281" s="8" t="n"/>
      <c r="AQ281" s="8" t="n"/>
      <c r="AR281" s="8" t="n"/>
      <c r="AS281" s="8" t="n"/>
      <c r="AT281" s="8" t="n"/>
      <c r="AU281" s="8" t="n"/>
      <c r="AV281" s="8" t="n"/>
      <c r="AW281" s="8" t="n"/>
      <c r="AX281" s="8" t="n"/>
      <c r="AY281" s="8" t="n"/>
      <c r="AZ281" s="8" t="n"/>
    </row>
    <row r="285" customFormat="1" s="12">
      <c r="D285" s="13" t="n"/>
      <c r="E285" s="8" t="n"/>
      <c r="F285" s="8" t="n"/>
      <c r="G285" s="8" t="n"/>
      <c r="H285" s="8" t="n"/>
      <c r="I285" s="8" t="n"/>
      <c r="J285" s="8" t="n"/>
      <c r="K285" s="8" t="n"/>
      <c r="L285" s="8" t="n"/>
      <c r="M285" s="8" t="n"/>
      <c r="N285" s="8" t="n"/>
      <c r="O285" s="8" t="n"/>
      <c r="P285" s="8" t="n"/>
      <c r="Q285" s="8" t="n"/>
      <c r="R285" s="8" t="n"/>
      <c r="S285" s="8" t="n"/>
      <c r="T285" s="8" t="n"/>
      <c r="U285" s="8" t="n"/>
      <c r="V285" s="8" t="n"/>
      <c r="W285" s="8" t="n"/>
      <c r="X285" s="8" t="n"/>
      <c r="Y285" s="8" t="n"/>
      <c r="Z285" s="8" t="n"/>
      <c r="AA285" s="8" t="n"/>
      <c r="AB285" s="8" t="n"/>
      <c r="AC285" s="8" t="n"/>
      <c r="AD285" s="8" t="n"/>
      <c r="AE285" s="8" t="n"/>
      <c r="AF285" s="8" t="n"/>
      <c r="AG285" s="8" t="n"/>
      <c r="AH285" s="8" t="n"/>
      <c r="AI285" s="8" t="n"/>
      <c r="AJ285" s="8" t="n"/>
      <c r="AK285" s="8" t="n"/>
      <c r="AL285" s="8" t="n"/>
      <c r="AM285" s="8" t="n"/>
      <c r="AN285" s="8" t="n"/>
      <c r="AO285" s="8" t="n"/>
      <c r="AP285" s="8" t="n"/>
      <c r="AQ285" s="8" t="n"/>
      <c r="AR285" s="8" t="n"/>
      <c r="AS285" s="8" t="n"/>
      <c r="AT285" s="8" t="n"/>
      <c r="AU285" s="8" t="n"/>
      <c r="AV285" s="8" t="n"/>
      <c r="AW285" s="8" t="n"/>
      <c r="AX285" s="8" t="n"/>
      <c r="AY285" s="8" t="n"/>
      <c r="AZ285" s="8" t="n"/>
    </row>
    <row r="286" customFormat="1" s="12">
      <c r="D286" s="13" t="n"/>
      <c r="E286" s="8" t="n"/>
      <c r="F286" s="8" t="n"/>
      <c r="G286" s="8" t="n"/>
      <c r="H286" s="8" t="n"/>
      <c r="I286" s="8" t="n"/>
      <c r="J286" s="8" t="n"/>
      <c r="K286" s="8" t="n"/>
      <c r="L286" s="8" t="n"/>
      <c r="M286" s="8" t="n"/>
      <c r="N286" s="8" t="n"/>
      <c r="O286" s="8" t="n"/>
      <c r="P286" s="8" t="n"/>
      <c r="Q286" s="8" t="n"/>
      <c r="R286" s="8" t="n"/>
      <c r="S286" s="8" t="n"/>
      <c r="T286" s="8" t="n"/>
      <c r="U286" s="8" t="n"/>
      <c r="V286" s="8" t="n"/>
      <c r="W286" s="8" t="n"/>
      <c r="X286" s="8" t="n"/>
      <c r="Y286" s="8" t="n"/>
      <c r="Z286" s="8" t="n"/>
      <c r="AA286" s="8" t="n"/>
      <c r="AB286" s="8" t="n"/>
      <c r="AC286" s="8" t="n"/>
      <c r="AD286" s="8" t="n"/>
      <c r="AE286" s="8" t="n"/>
      <c r="AF286" s="8" t="n"/>
      <c r="AG286" s="8" t="n"/>
      <c r="AH286" s="8" t="n"/>
      <c r="AI286" s="8" t="n"/>
      <c r="AJ286" s="8" t="n"/>
      <c r="AK286" s="8" t="n"/>
      <c r="AL286" s="8" t="n"/>
      <c r="AM286" s="8" t="n"/>
      <c r="AN286" s="8" t="n"/>
      <c r="AO286" s="8" t="n"/>
      <c r="AP286" s="8" t="n"/>
      <c r="AQ286" s="8" t="n"/>
      <c r="AR286" s="8" t="n"/>
      <c r="AS286" s="8" t="n"/>
      <c r="AT286" s="8" t="n"/>
      <c r="AU286" s="8" t="n"/>
      <c r="AV286" s="8" t="n"/>
      <c r="AW286" s="8" t="n"/>
      <c r="AX286" s="8" t="n"/>
      <c r="AY286" s="8" t="n"/>
      <c r="AZ286" s="8" t="n"/>
    </row>
    <row r="287" customFormat="1" s="12">
      <c r="D287" s="13" t="n"/>
      <c r="E287" s="8" t="n"/>
      <c r="F287" s="8" t="n"/>
      <c r="G287" s="8" t="n"/>
      <c r="H287" s="8" t="n"/>
      <c r="I287" s="8" t="n"/>
      <c r="J287" s="8" t="n"/>
      <c r="K287" s="8" t="n"/>
      <c r="L287" s="8" t="n"/>
      <c r="M287" s="8" t="n"/>
      <c r="N287" s="8" t="n"/>
      <c r="O287" s="8" t="n"/>
      <c r="P287" s="8" t="n"/>
      <c r="Q287" s="8" t="n"/>
      <c r="R287" s="8" t="n"/>
      <c r="S287" s="8" t="n"/>
      <c r="T287" s="8" t="n"/>
      <c r="U287" s="8" t="n"/>
      <c r="V287" s="8" t="n"/>
      <c r="W287" s="8" t="n"/>
      <c r="X287" s="8" t="n"/>
      <c r="Y287" s="8" t="n"/>
      <c r="Z287" s="8" t="n"/>
      <c r="AA287" s="8" t="n"/>
      <c r="AB287" s="8" t="n"/>
      <c r="AC287" s="8" t="n"/>
      <c r="AD287" s="8" t="n"/>
      <c r="AE287" s="8" t="n"/>
      <c r="AF287" s="8" t="n"/>
      <c r="AG287" s="8" t="n"/>
      <c r="AH287" s="8" t="n"/>
      <c r="AI287" s="8" t="n"/>
      <c r="AJ287" s="8" t="n"/>
      <c r="AK287" s="8" t="n"/>
      <c r="AL287" s="8" t="n"/>
      <c r="AM287" s="8" t="n"/>
      <c r="AN287" s="8" t="n"/>
      <c r="AO287" s="8" t="n"/>
      <c r="AP287" s="8" t="n"/>
      <c r="AQ287" s="8" t="n"/>
      <c r="AR287" s="8" t="n"/>
      <c r="AS287" s="8" t="n"/>
      <c r="AT287" s="8" t="n"/>
      <c r="AU287" s="8" t="n"/>
      <c r="AV287" s="8" t="n"/>
      <c r="AW287" s="8" t="n"/>
      <c r="AX287" s="8" t="n"/>
      <c r="AY287" s="8" t="n"/>
      <c r="AZ287" s="8" t="n"/>
    </row>
    <row r="288" customFormat="1" s="12">
      <c r="D288" s="13" t="n"/>
      <c r="E288" s="8" t="n"/>
      <c r="F288" s="8" t="n"/>
      <c r="G288" s="8" t="n"/>
      <c r="H288" s="8" t="n"/>
      <c r="I288" s="8" t="n"/>
      <c r="J288" s="8" t="n"/>
      <c r="K288" s="8" t="n"/>
      <c r="L288" s="8" t="n"/>
      <c r="M288" s="8" t="n"/>
      <c r="N288" s="8" t="n"/>
      <c r="O288" s="8" t="n"/>
      <c r="P288" s="8" t="n"/>
      <c r="Q288" s="8" t="n"/>
      <c r="R288" s="8" t="n"/>
      <c r="S288" s="8" t="n"/>
      <c r="T288" s="8" t="n"/>
      <c r="U288" s="8" t="n"/>
      <c r="V288" s="8" t="n"/>
      <c r="W288" s="8" t="n"/>
      <c r="X288" s="8" t="n"/>
      <c r="Y288" s="8" t="n"/>
      <c r="Z288" s="8" t="n"/>
      <c r="AA288" s="8" t="n"/>
      <c r="AB288" s="8" t="n"/>
      <c r="AC288" s="8" t="n"/>
      <c r="AD288" s="8" t="n"/>
      <c r="AE288" s="8" t="n"/>
      <c r="AF288" s="8" t="n"/>
      <c r="AG288" s="8" t="n"/>
      <c r="AH288" s="8" t="n"/>
      <c r="AI288" s="8" t="n"/>
      <c r="AJ288" s="8" t="n"/>
      <c r="AK288" s="8" t="n"/>
      <c r="AL288" s="8" t="n"/>
      <c r="AM288" s="8" t="n"/>
      <c r="AN288" s="8" t="n"/>
      <c r="AO288" s="8" t="n"/>
      <c r="AP288" s="8" t="n"/>
      <c r="AQ288" s="8" t="n"/>
      <c r="AR288" s="8" t="n"/>
      <c r="AS288" s="8" t="n"/>
      <c r="AT288" s="8" t="n"/>
      <c r="AU288" s="8" t="n"/>
      <c r="AV288" s="8" t="n"/>
      <c r="AW288" s="8" t="n"/>
      <c r="AX288" s="8" t="n"/>
      <c r="AY288" s="8" t="n"/>
      <c r="AZ288" s="8" t="n"/>
    </row>
    <row r="289" customFormat="1" s="12">
      <c r="D289" s="13" t="n"/>
      <c r="E289" s="8" t="n"/>
      <c r="F289" s="8" t="n"/>
      <c r="G289" s="8" t="n"/>
      <c r="H289" s="8" t="n"/>
      <c r="I289" s="8" t="n"/>
      <c r="J289" s="8" t="n"/>
      <c r="K289" s="8" t="n"/>
      <c r="L289" s="8" t="n"/>
      <c r="M289" s="8" t="n"/>
      <c r="N289" s="8" t="n"/>
      <c r="O289" s="8" t="n"/>
      <c r="P289" s="8" t="n"/>
      <c r="Q289" s="8" t="n"/>
      <c r="R289" s="8" t="n"/>
      <c r="S289" s="8" t="n"/>
      <c r="T289" s="8" t="n"/>
      <c r="U289" s="8" t="n"/>
      <c r="V289" s="8" t="n"/>
      <c r="W289" s="8" t="n"/>
      <c r="X289" s="8" t="n"/>
      <c r="Y289" s="8" t="n"/>
      <c r="Z289" s="8" t="n"/>
      <c r="AA289" s="8" t="n"/>
      <c r="AB289" s="8" t="n"/>
      <c r="AC289" s="8" t="n"/>
      <c r="AD289" s="8" t="n"/>
      <c r="AE289" s="8" t="n"/>
      <c r="AF289" s="8" t="n"/>
      <c r="AG289" s="8" t="n"/>
      <c r="AH289" s="8" t="n"/>
      <c r="AI289" s="8" t="n"/>
      <c r="AJ289" s="8" t="n"/>
      <c r="AK289" s="8" t="n"/>
      <c r="AL289" s="8" t="n"/>
      <c r="AM289" s="8" t="n"/>
      <c r="AN289" s="8" t="n"/>
      <c r="AO289" s="8" t="n"/>
      <c r="AP289" s="8" t="n"/>
      <c r="AQ289" s="8" t="n"/>
      <c r="AR289" s="8" t="n"/>
      <c r="AS289" s="8" t="n"/>
      <c r="AT289" s="8" t="n"/>
      <c r="AU289" s="8" t="n"/>
      <c r="AV289" s="8" t="n"/>
      <c r="AW289" s="8" t="n"/>
      <c r="AX289" s="8" t="n"/>
      <c r="AY289" s="8" t="n"/>
      <c r="AZ289" s="8" t="n"/>
    </row>
    <row r="290" customFormat="1" s="12">
      <c r="D290" s="13" t="n"/>
      <c r="E290" s="8" t="n"/>
      <c r="F290" s="8" t="n"/>
      <c r="G290" s="8" t="n"/>
      <c r="H290" s="8" t="n"/>
      <c r="I290" s="8" t="n"/>
      <c r="J290" s="8" t="n"/>
      <c r="K290" s="8" t="n"/>
      <c r="L290" s="8" t="n"/>
      <c r="M290" s="8" t="n"/>
      <c r="N290" s="8" t="n"/>
      <c r="O290" s="8" t="n"/>
      <c r="P290" s="8" t="n"/>
      <c r="Q290" s="8" t="n"/>
      <c r="R290" s="8" t="n"/>
      <c r="S290" s="8" t="n"/>
      <c r="T290" s="8" t="n"/>
      <c r="U290" s="8" t="n"/>
      <c r="V290" s="8" t="n"/>
      <c r="W290" s="8" t="n"/>
      <c r="X290" s="8" t="n"/>
      <c r="Y290" s="8" t="n"/>
      <c r="Z290" s="8" t="n"/>
      <c r="AA290" s="8" t="n"/>
      <c r="AB290" s="8" t="n"/>
      <c r="AC290" s="8" t="n"/>
      <c r="AD290" s="8" t="n"/>
      <c r="AE290" s="8" t="n"/>
      <c r="AF290" s="8" t="n"/>
      <c r="AG290" s="8" t="n"/>
      <c r="AH290" s="8" t="n"/>
      <c r="AI290" s="8" t="n"/>
      <c r="AJ290" s="8" t="n"/>
      <c r="AK290" s="8" t="n"/>
      <c r="AL290" s="8" t="n"/>
      <c r="AM290" s="8" t="n"/>
      <c r="AN290" s="8" t="n"/>
      <c r="AO290" s="8" t="n"/>
      <c r="AP290" s="8" t="n"/>
      <c r="AQ290" s="8" t="n"/>
      <c r="AR290" s="8" t="n"/>
      <c r="AS290" s="8" t="n"/>
      <c r="AT290" s="8" t="n"/>
      <c r="AU290" s="8" t="n"/>
      <c r="AV290" s="8" t="n"/>
      <c r="AW290" s="8" t="n"/>
      <c r="AX290" s="8" t="n"/>
      <c r="AY290" s="8" t="n"/>
      <c r="AZ290" s="8" t="n"/>
    </row>
    <row r="291" customFormat="1" s="12">
      <c r="D291" s="13" t="n"/>
      <c r="E291" s="8" t="n"/>
      <c r="F291" s="8" t="n"/>
      <c r="G291" s="8" t="n"/>
      <c r="H291" s="8" t="n"/>
      <c r="I291" s="8" t="n"/>
      <c r="J291" s="8" t="n"/>
      <c r="K291" s="8" t="n"/>
      <c r="L291" s="8" t="n"/>
      <c r="M291" s="8" t="n"/>
      <c r="N291" s="8" t="n"/>
      <c r="O291" s="8" t="n"/>
      <c r="P291" s="8" t="n"/>
      <c r="Q291" s="8" t="n"/>
      <c r="R291" s="8" t="n"/>
      <c r="S291" s="8" t="n"/>
      <c r="T291" s="8" t="n"/>
      <c r="U291" s="8" t="n"/>
      <c r="V291" s="8" t="n"/>
      <c r="W291" s="8" t="n"/>
      <c r="X291" s="8" t="n"/>
      <c r="Y291" s="8" t="n"/>
      <c r="Z291" s="8" t="n"/>
      <c r="AA291" s="8" t="n"/>
      <c r="AB291" s="8" t="n"/>
      <c r="AC291" s="8" t="n"/>
      <c r="AD291" s="8" t="n"/>
      <c r="AE291" s="8" t="n"/>
      <c r="AF291" s="8" t="n"/>
      <c r="AG291" s="8" t="n"/>
      <c r="AH291" s="8" t="n"/>
      <c r="AI291" s="8" t="n"/>
      <c r="AJ291" s="8" t="n"/>
      <c r="AK291" s="8" t="n"/>
      <c r="AL291" s="8" t="n"/>
      <c r="AM291" s="8" t="n"/>
      <c r="AN291" s="8" t="n"/>
      <c r="AO291" s="8" t="n"/>
      <c r="AP291" s="8" t="n"/>
      <c r="AQ291" s="8" t="n"/>
      <c r="AR291" s="8" t="n"/>
      <c r="AS291" s="8" t="n"/>
      <c r="AT291" s="8" t="n"/>
      <c r="AU291" s="8" t="n"/>
      <c r="AV291" s="8" t="n"/>
      <c r="AW291" s="8" t="n"/>
      <c r="AX291" s="8" t="n"/>
      <c r="AY291" s="8" t="n"/>
      <c r="AZ291" s="8" t="n"/>
    </row>
    <row r="304" customFormat="1" s="12">
      <c r="D304" s="13" t="n"/>
      <c r="E304" s="8" t="n"/>
      <c r="F304" s="8" t="n"/>
      <c r="G304" s="8" t="n"/>
      <c r="H304" s="8" t="n"/>
      <c r="I304" s="8" t="n"/>
      <c r="J304" s="8" t="n"/>
      <c r="K304" s="8" t="n"/>
      <c r="L304" s="8" t="n"/>
      <c r="M304" s="8" t="n"/>
      <c r="N304" s="8" t="n"/>
      <c r="O304" s="8" t="n"/>
      <c r="P304" s="8" t="n"/>
      <c r="Q304" s="8" t="n"/>
      <c r="R304" s="8" t="n"/>
      <c r="S304" s="8" t="n"/>
      <c r="T304" s="8" t="n"/>
      <c r="U304" s="8" t="n"/>
      <c r="V304" s="8" t="n"/>
      <c r="W304" s="8" t="n"/>
      <c r="X304" s="8" t="n"/>
      <c r="Y304" s="8" t="n"/>
      <c r="Z304" s="8" t="n"/>
      <c r="AA304" s="8" t="n"/>
      <c r="AB304" s="8" t="n"/>
      <c r="AC304" s="8" t="n"/>
      <c r="AD304" s="8" t="n"/>
      <c r="AE304" s="8" t="n"/>
      <c r="AF304" s="8" t="n"/>
      <c r="AG304" s="8" t="n"/>
      <c r="AH304" s="8" t="n"/>
      <c r="AI304" s="8" t="n"/>
      <c r="AJ304" s="8" t="n"/>
      <c r="AK304" s="8" t="n"/>
      <c r="AL304" s="8" t="n"/>
      <c r="AM304" s="8" t="n"/>
      <c r="AN304" s="8" t="n"/>
      <c r="AO304" s="8" t="n"/>
      <c r="AP304" s="8" t="n"/>
      <c r="AQ304" s="8" t="n"/>
      <c r="AR304" s="8" t="n"/>
      <c r="AS304" s="8" t="n"/>
      <c r="AT304" s="8" t="n"/>
      <c r="AU304" s="8" t="n"/>
      <c r="AV304" s="8" t="n"/>
      <c r="AW304" s="8" t="n"/>
      <c r="AX304" s="8" t="n"/>
      <c r="AY304" s="8" t="n"/>
      <c r="AZ304" s="8" t="n"/>
    </row>
    <row r="305" customFormat="1" s="12">
      <c r="D305" s="13" t="n"/>
      <c r="E305" s="8" t="n"/>
      <c r="F305" s="8" t="n"/>
      <c r="G305" s="8" t="n"/>
      <c r="H305" s="8" t="n"/>
      <c r="I305" s="8" t="n"/>
      <c r="J305" s="8" t="n"/>
      <c r="K305" s="8" t="n"/>
      <c r="L305" s="8" t="n"/>
      <c r="M305" s="8" t="n"/>
      <c r="N305" s="8" t="n"/>
      <c r="O305" s="8" t="n"/>
      <c r="P305" s="8" t="n"/>
      <c r="Q305" s="8" t="n"/>
      <c r="R305" s="8" t="n"/>
      <c r="S305" s="8" t="n"/>
      <c r="T305" s="8" t="n"/>
      <c r="U305" s="8" t="n"/>
      <c r="V305" s="8" t="n"/>
      <c r="W305" s="8" t="n"/>
      <c r="X305" s="8" t="n"/>
      <c r="Y305" s="8" t="n"/>
      <c r="Z305" s="8" t="n"/>
      <c r="AA305" s="8" t="n"/>
      <c r="AB305" s="8" t="n"/>
      <c r="AC305" s="8" t="n"/>
      <c r="AD305" s="8" t="n"/>
      <c r="AE305" s="8" t="n"/>
      <c r="AF305" s="8" t="n"/>
      <c r="AG305" s="8" t="n"/>
      <c r="AH305" s="8" t="n"/>
      <c r="AI305" s="8" t="n"/>
      <c r="AJ305" s="8" t="n"/>
      <c r="AK305" s="8" t="n"/>
      <c r="AL305" s="8" t="n"/>
      <c r="AM305" s="8" t="n"/>
      <c r="AN305" s="8" t="n"/>
      <c r="AO305" s="8" t="n"/>
      <c r="AP305" s="8" t="n"/>
      <c r="AQ305" s="8" t="n"/>
      <c r="AR305" s="8" t="n"/>
      <c r="AS305" s="8" t="n"/>
      <c r="AT305" s="8" t="n"/>
      <c r="AU305" s="8" t="n"/>
      <c r="AV305" s="8" t="n"/>
      <c r="AW305" s="8" t="n"/>
      <c r="AX305" s="8" t="n"/>
      <c r="AY305" s="8" t="n"/>
      <c r="AZ305" s="8" t="n"/>
    </row>
    <row r="306" customFormat="1" s="12">
      <c r="D306" s="13" t="n"/>
      <c r="E306" s="8" t="n"/>
      <c r="F306" s="8" t="n"/>
      <c r="G306" s="8" t="n"/>
      <c r="H306" s="8" t="n"/>
      <c r="I306" s="8" t="n"/>
      <c r="J306" s="8" t="n"/>
      <c r="K306" s="8" t="n"/>
      <c r="L306" s="8" t="n"/>
      <c r="M306" s="8" t="n"/>
      <c r="N306" s="8" t="n"/>
      <c r="O306" s="8" t="n"/>
      <c r="P306" s="8" t="n"/>
      <c r="Q306" s="8" t="n"/>
      <c r="R306" s="8" t="n"/>
      <c r="S306" s="8" t="n"/>
      <c r="T306" s="8" t="n"/>
      <c r="U306" s="8" t="n"/>
      <c r="V306" s="8" t="n"/>
      <c r="W306" s="8" t="n"/>
      <c r="X306" s="8" t="n"/>
      <c r="Y306" s="8" t="n"/>
      <c r="Z306" s="8" t="n"/>
      <c r="AA306" s="8" t="n"/>
      <c r="AB306" s="8" t="n"/>
      <c r="AC306" s="8" t="n"/>
      <c r="AD306" s="8" t="n"/>
      <c r="AE306" s="8" t="n"/>
      <c r="AF306" s="8" t="n"/>
      <c r="AG306" s="8" t="n"/>
      <c r="AH306" s="8" t="n"/>
      <c r="AI306" s="8" t="n"/>
      <c r="AJ306" s="8" t="n"/>
      <c r="AK306" s="8" t="n"/>
      <c r="AL306" s="8" t="n"/>
      <c r="AM306" s="8" t="n"/>
      <c r="AN306" s="8" t="n"/>
      <c r="AO306" s="8" t="n"/>
      <c r="AP306" s="8" t="n"/>
      <c r="AQ306" s="8" t="n"/>
      <c r="AR306" s="8" t="n"/>
      <c r="AS306" s="8" t="n"/>
      <c r="AT306" s="8" t="n"/>
      <c r="AU306" s="8" t="n"/>
      <c r="AV306" s="8" t="n"/>
      <c r="AW306" s="8" t="n"/>
      <c r="AX306" s="8" t="n"/>
      <c r="AY306" s="8" t="n"/>
      <c r="AZ306" s="8" t="n"/>
    </row>
    <row r="307" customFormat="1" s="12">
      <c r="D307" s="13" t="n"/>
      <c r="E307" s="8" t="n"/>
      <c r="F307" s="8" t="n"/>
      <c r="G307" s="8" t="n"/>
      <c r="H307" s="8" t="n"/>
      <c r="I307" s="8" t="n"/>
      <c r="J307" s="8" t="n"/>
      <c r="K307" s="8" t="n"/>
      <c r="L307" s="8" t="n"/>
      <c r="M307" s="8" t="n"/>
      <c r="N307" s="8" t="n"/>
      <c r="O307" s="8" t="n"/>
      <c r="P307" s="8" t="n"/>
      <c r="Q307" s="8" t="n"/>
      <c r="R307" s="8" t="n"/>
      <c r="S307" s="8" t="n"/>
      <c r="T307" s="8" t="n"/>
      <c r="U307" s="8" t="n"/>
      <c r="V307" s="8" t="n"/>
      <c r="W307" s="8" t="n"/>
      <c r="X307" s="8" t="n"/>
      <c r="Y307" s="8" t="n"/>
      <c r="Z307" s="8" t="n"/>
      <c r="AA307" s="8" t="n"/>
      <c r="AB307" s="8" t="n"/>
      <c r="AC307" s="8" t="n"/>
      <c r="AD307" s="8" t="n"/>
      <c r="AE307" s="8" t="n"/>
      <c r="AF307" s="8" t="n"/>
      <c r="AG307" s="8" t="n"/>
      <c r="AH307" s="8" t="n"/>
      <c r="AI307" s="8" t="n"/>
      <c r="AJ307" s="8" t="n"/>
      <c r="AK307" s="8" t="n"/>
      <c r="AL307" s="8" t="n"/>
      <c r="AM307" s="8" t="n"/>
      <c r="AN307" s="8" t="n"/>
      <c r="AO307" s="8" t="n"/>
      <c r="AP307" s="8" t="n"/>
      <c r="AQ307" s="8" t="n"/>
      <c r="AR307" s="8" t="n"/>
      <c r="AS307" s="8" t="n"/>
      <c r="AT307" s="8" t="n"/>
      <c r="AU307" s="8" t="n"/>
      <c r="AV307" s="8" t="n"/>
      <c r="AW307" s="8" t="n"/>
      <c r="AX307" s="8" t="n"/>
      <c r="AY307" s="8" t="n"/>
      <c r="AZ307" s="8" t="n"/>
    </row>
    <row r="308" customFormat="1" s="12">
      <c r="D308" s="13" t="n"/>
      <c r="E308" s="8" t="n"/>
      <c r="F308" s="8" t="n"/>
      <c r="G308" s="8" t="n"/>
      <c r="H308" s="8" t="n"/>
      <c r="I308" s="8" t="n"/>
      <c r="J308" s="8" t="n"/>
      <c r="K308" s="8" t="n"/>
      <c r="L308" s="8" t="n"/>
      <c r="M308" s="8" t="n"/>
      <c r="N308" s="8" t="n"/>
      <c r="O308" s="8" t="n"/>
      <c r="P308" s="8" t="n"/>
      <c r="Q308" s="8" t="n"/>
      <c r="R308" s="8" t="n"/>
      <c r="S308" s="8" t="n"/>
      <c r="T308" s="8" t="n"/>
      <c r="U308" s="8" t="n"/>
      <c r="V308" s="8" t="n"/>
      <c r="W308" s="8" t="n"/>
      <c r="X308" s="8" t="n"/>
      <c r="Y308" s="8" t="n"/>
      <c r="Z308" s="8" t="n"/>
      <c r="AA308" s="8" t="n"/>
      <c r="AB308" s="8" t="n"/>
      <c r="AC308" s="8" t="n"/>
      <c r="AD308" s="8" t="n"/>
      <c r="AE308" s="8" t="n"/>
      <c r="AF308" s="8" t="n"/>
      <c r="AG308" s="8" t="n"/>
      <c r="AH308" s="8" t="n"/>
      <c r="AI308" s="8" t="n"/>
      <c r="AJ308" s="8" t="n"/>
      <c r="AK308" s="8" t="n"/>
      <c r="AL308" s="8" t="n"/>
      <c r="AM308" s="8" t="n"/>
      <c r="AN308" s="8" t="n"/>
      <c r="AO308" s="8" t="n"/>
      <c r="AP308" s="8" t="n"/>
      <c r="AQ308" s="8" t="n"/>
      <c r="AR308" s="8" t="n"/>
      <c r="AS308" s="8" t="n"/>
      <c r="AT308" s="8" t="n"/>
      <c r="AU308" s="8" t="n"/>
      <c r="AV308" s="8" t="n"/>
      <c r="AW308" s="8" t="n"/>
      <c r="AX308" s="8" t="n"/>
      <c r="AY308" s="8" t="n"/>
      <c r="AZ308" s="8" t="n"/>
    </row>
    <row r="309" customFormat="1" s="12">
      <c r="D309" s="13" t="n"/>
      <c r="E309" s="8" t="n"/>
      <c r="F309" s="8" t="n"/>
      <c r="G309" s="8" t="n"/>
      <c r="H309" s="8" t="n"/>
      <c r="I309" s="8" t="n"/>
      <c r="J309" s="8" t="n"/>
      <c r="K309" s="8" t="n"/>
      <c r="L309" s="8" t="n"/>
      <c r="M309" s="8" t="n"/>
      <c r="N309" s="8" t="n"/>
      <c r="O309" s="8" t="n"/>
      <c r="P309" s="8" t="n"/>
      <c r="Q309" s="8" t="n"/>
      <c r="R309" s="8" t="n"/>
      <c r="S309" s="8" t="n"/>
      <c r="T309" s="8" t="n"/>
      <c r="U309" s="8" t="n"/>
      <c r="V309" s="8" t="n"/>
      <c r="W309" s="8" t="n"/>
      <c r="X309" s="8" t="n"/>
      <c r="Y309" s="8" t="n"/>
      <c r="Z309" s="8" t="n"/>
      <c r="AA309" s="8" t="n"/>
      <c r="AB309" s="8" t="n"/>
      <c r="AC309" s="8" t="n"/>
      <c r="AD309" s="8" t="n"/>
      <c r="AE309" s="8" t="n"/>
      <c r="AF309" s="8" t="n"/>
      <c r="AG309" s="8" t="n"/>
      <c r="AH309" s="8" t="n"/>
      <c r="AI309" s="8" t="n"/>
      <c r="AJ309" s="8" t="n"/>
      <c r="AK309" s="8" t="n"/>
      <c r="AL309" s="8" t="n"/>
      <c r="AM309" s="8" t="n"/>
      <c r="AN309" s="8" t="n"/>
      <c r="AO309" s="8" t="n"/>
      <c r="AP309" s="8" t="n"/>
      <c r="AQ309" s="8" t="n"/>
      <c r="AR309" s="8" t="n"/>
      <c r="AS309" s="8" t="n"/>
      <c r="AT309" s="8" t="n"/>
      <c r="AU309" s="8" t="n"/>
      <c r="AV309" s="8" t="n"/>
      <c r="AW309" s="8" t="n"/>
      <c r="AX309" s="8" t="n"/>
      <c r="AY309" s="8" t="n"/>
      <c r="AZ309" s="8" t="n"/>
    </row>
    <row r="310" customFormat="1" s="12">
      <c r="D310" s="13" t="n"/>
      <c r="E310" s="8" t="n"/>
      <c r="F310" s="8" t="n"/>
      <c r="G310" s="8" t="n"/>
      <c r="H310" s="8" t="n"/>
      <c r="I310" s="8" t="n"/>
      <c r="J310" s="8" t="n"/>
      <c r="K310" s="8" t="n"/>
      <c r="L310" s="8" t="n"/>
      <c r="M310" s="8" t="n"/>
      <c r="N310" s="8" t="n"/>
      <c r="O310" s="8" t="n"/>
      <c r="P310" s="8" t="n"/>
      <c r="Q310" s="8" t="n"/>
      <c r="R310" s="8" t="n"/>
      <c r="S310" s="8" t="n"/>
      <c r="T310" s="8" t="n"/>
      <c r="U310" s="8" t="n"/>
      <c r="V310" s="8" t="n"/>
      <c r="W310" s="8" t="n"/>
      <c r="X310" s="8" t="n"/>
      <c r="Y310" s="8" t="n"/>
      <c r="Z310" s="8" t="n"/>
      <c r="AA310" s="8" t="n"/>
      <c r="AB310" s="8" t="n"/>
      <c r="AC310" s="8" t="n"/>
      <c r="AD310" s="8" t="n"/>
      <c r="AE310" s="8" t="n"/>
      <c r="AF310" s="8" t="n"/>
      <c r="AG310" s="8" t="n"/>
      <c r="AH310" s="8" t="n"/>
      <c r="AI310" s="8" t="n"/>
      <c r="AJ310" s="8" t="n"/>
      <c r="AK310" s="8" t="n"/>
      <c r="AL310" s="8" t="n"/>
      <c r="AM310" s="8" t="n"/>
      <c r="AN310" s="8" t="n"/>
      <c r="AO310" s="8" t="n"/>
      <c r="AP310" s="8" t="n"/>
      <c r="AQ310" s="8" t="n"/>
      <c r="AR310" s="8" t="n"/>
      <c r="AS310" s="8" t="n"/>
      <c r="AT310" s="8" t="n"/>
      <c r="AU310" s="8" t="n"/>
      <c r="AV310" s="8" t="n"/>
      <c r="AW310" s="8" t="n"/>
      <c r="AX310" s="8" t="n"/>
      <c r="AY310" s="8" t="n"/>
      <c r="AZ310" s="8" t="n"/>
    </row>
    <row r="311" customFormat="1" s="12">
      <c r="D311" s="13" t="n"/>
      <c r="E311" s="8" t="n"/>
      <c r="F311" s="8" t="n"/>
      <c r="G311" s="8" t="n"/>
      <c r="H311" s="8" t="n"/>
      <c r="I311" s="8" t="n"/>
      <c r="J311" s="8" t="n"/>
      <c r="K311" s="8" t="n"/>
      <c r="L311" s="8" t="n"/>
      <c r="M311" s="8" t="n"/>
      <c r="N311" s="8" t="n"/>
      <c r="O311" s="8" t="n"/>
      <c r="P311" s="8" t="n"/>
      <c r="Q311" s="8" t="n"/>
      <c r="R311" s="8" t="n"/>
      <c r="S311" s="8" t="n"/>
      <c r="T311" s="8" t="n"/>
      <c r="U311" s="8" t="n"/>
      <c r="V311" s="8" t="n"/>
      <c r="W311" s="8" t="n"/>
      <c r="X311" s="8" t="n"/>
      <c r="Y311" s="8" t="n"/>
      <c r="Z311" s="8" t="n"/>
      <c r="AA311" s="8" t="n"/>
      <c r="AB311" s="8" t="n"/>
      <c r="AC311" s="8" t="n"/>
      <c r="AD311" s="8" t="n"/>
      <c r="AE311" s="8" t="n"/>
      <c r="AF311" s="8" t="n"/>
      <c r="AG311" s="8" t="n"/>
      <c r="AH311" s="8" t="n"/>
      <c r="AI311" s="8" t="n"/>
      <c r="AJ311" s="8" t="n"/>
      <c r="AK311" s="8" t="n"/>
      <c r="AL311" s="8" t="n"/>
      <c r="AM311" s="8" t="n"/>
      <c r="AN311" s="8" t="n"/>
      <c r="AO311" s="8" t="n"/>
      <c r="AP311" s="8" t="n"/>
      <c r="AQ311" s="8" t="n"/>
      <c r="AR311" s="8" t="n"/>
      <c r="AS311" s="8" t="n"/>
      <c r="AT311" s="8" t="n"/>
      <c r="AU311" s="8" t="n"/>
      <c r="AV311" s="8" t="n"/>
      <c r="AW311" s="8" t="n"/>
      <c r="AX311" s="8" t="n"/>
      <c r="AY311" s="8" t="n"/>
      <c r="AZ311" s="8" t="n"/>
    </row>
    <row r="312" customFormat="1" s="12">
      <c r="D312" s="13" t="n"/>
      <c r="E312" s="8" t="n"/>
      <c r="F312" s="8" t="n"/>
      <c r="G312" s="8" t="n"/>
      <c r="H312" s="8" t="n"/>
      <c r="I312" s="8" t="n"/>
      <c r="J312" s="8" t="n"/>
      <c r="K312" s="8" t="n"/>
      <c r="L312" s="8" t="n"/>
      <c r="M312" s="8" t="n"/>
      <c r="N312" s="8" t="n"/>
      <c r="O312" s="8" t="n"/>
      <c r="P312" s="8" t="n"/>
      <c r="Q312" s="8" t="n"/>
      <c r="R312" s="8" t="n"/>
      <c r="S312" s="8" t="n"/>
      <c r="T312" s="8" t="n"/>
      <c r="U312" s="8" t="n"/>
      <c r="V312" s="8" t="n"/>
      <c r="W312" s="8" t="n"/>
      <c r="X312" s="8" t="n"/>
      <c r="Y312" s="8" t="n"/>
      <c r="Z312" s="8" t="n"/>
      <c r="AA312" s="8" t="n"/>
      <c r="AB312" s="8" t="n"/>
      <c r="AC312" s="8" t="n"/>
      <c r="AD312" s="8" t="n"/>
      <c r="AE312" s="8" t="n"/>
      <c r="AF312" s="8" t="n"/>
      <c r="AG312" s="8" t="n"/>
      <c r="AH312" s="8" t="n"/>
      <c r="AI312" s="8" t="n"/>
      <c r="AJ312" s="8" t="n"/>
      <c r="AK312" s="8" t="n"/>
      <c r="AL312" s="8" t="n"/>
      <c r="AM312" s="8" t="n"/>
      <c r="AN312" s="8" t="n"/>
      <c r="AO312" s="8" t="n"/>
      <c r="AP312" s="8" t="n"/>
      <c r="AQ312" s="8" t="n"/>
      <c r="AR312" s="8" t="n"/>
      <c r="AS312" s="8" t="n"/>
      <c r="AT312" s="8" t="n"/>
      <c r="AU312" s="8" t="n"/>
      <c r="AV312" s="8" t="n"/>
      <c r="AW312" s="8" t="n"/>
      <c r="AX312" s="8" t="n"/>
      <c r="AY312" s="8" t="n"/>
      <c r="AZ312" s="8" t="n"/>
    </row>
    <row r="313" customFormat="1" s="12">
      <c r="D313" s="13" t="n"/>
      <c r="E313" s="8" t="n"/>
      <c r="F313" s="8" t="n"/>
      <c r="G313" s="8" t="n"/>
      <c r="H313" s="8" t="n"/>
      <c r="I313" s="8" t="n"/>
      <c r="J313" s="8" t="n"/>
      <c r="K313" s="8" t="n"/>
      <c r="L313" s="8" t="n"/>
      <c r="M313" s="8" t="n"/>
      <c r="N313" s="8" t="n"/>
      <c r="O313" s="8" t="n"/>
      <c r="P313" s="8" t="n"/>
      <c r="Q313" s="8" t="n"/>
      <c r="R313" s="8" t="n"/>
      <c r="S313" s="8" t="n"/>
      <c r="T313" s="8" t="n"/>
      <c r="U313" s="8" t="n"/>
      <c r="V313" s="8" t="n"/>
      <c r="W313" s="8" t="n"/>
      <c r="X313" s="8" t="n"/>
      <c r="Y313" s="8" t="n"/>
      <c r="Z313" s="8" t="n"/>
      <c r="AA313" s="8" t="n"/>
      <c r="AB313" s="8" t="n"/>
      <c r="AC313" s="8" t="n"/>
      <c r="AD313" s="8" t="n"/>
      <c r="AE313" s="8" t="n"/>
      <c r="AF313" s="8" t="n"/>
      <c r="AG313" s="8" t="n"/>
      <c r="AH313" s="8" t="n"/>
      <c r="AI313" s="8" t="n"/>
      <c r="AJ313" s="8" t="n"/>
      <c r="AK313" s="8" t="n"/>
      <c r="AL313" s="8" t="n"/>
      <c r="AM313" s="8" t="n"/>
      <c r="AN313" s="8" t="n"/>
      <c r="AO313" s="8" t="n"/>
      <c r="AP313" s="8" t="n"/>
      <c r="AQ313" s="8" t="n"/>
      <c r="AR313" s="8" t="n"/>
      <c r="AS313" s="8" t="n"/>
      <c r="AT313" s="8" t="n"/>
      <c r="AU313" s="8" t="n"/>
      <c r="AV313" s="8" t="n"/>
      <c r="AW313" s="8" t="n"/>
      <c r="AX313" s="8" t="n"/>
      <c r="AY313" s="8" t="n"/>
      <c r="AZ313" s="8" t="n"/>
    </row>
    <row r="314" customFormat="1" s="12">
      <c r="D314" s="13" t="n"/>
      <c r="E314" s="8" t="n"/>
      <c r="F314" s="8" t="n"/>
      <c r="G314" s="8" t="n"/>
      <c r="H314" s="8" t="n"/>
      <c r="I314" s="8" t="n"/>
      <c r="J314" s="8" t="n"/>
      <c r="K314" s="8" t="n"/>
      <c r="L314" s="8" t="n"/>
      <c r="M314" s="8" t="n"/>
      <c r="N314" s="8" t="n"/>
      <c r="O314" s="8" t="n"/>
      <c r="P314" s="8" t="n"/>
      <c r="Q314" s="8" t="n"/>
      <c r="R314" s="8" t="n"/>
      <c r="S314" s="8" t="n"/>
      <c r="T314" s="8" t="n"/>
      <c r="U314" s="8" t="n"/>
      <c r="V314" s="8" t="n"/>
      <c r="W314" s="8" t="n"/>
      <c r="X314" s="8" t="n"/>
      <c r="Y314" s="8" t="n"/>
      <c r="Z314" s="8" t="n"/>
      <c r="AA314" s="8" t="n"/>
      <c r="AB314" s="8" t="n"/>
      <c r="AC314" s="8" t="n"/>
      <c r="AD314" s="8" t="n"/>
      <c r="AE314" s="8" t="n"/>
      <c r="AF314" s="8" t="n"/>
      <c r="AG314" s="8" t="n"/>
      <c r="AH314" s="8" t="n"/>
      <c r="AI314" s="8" t="n"/>
      <c r="AJ314" s="8" t="n"/>
      <c r="AK314" s="8" t="n"/>
      <c r="AL314" s="8" t="n"/>
      <c r="AM314" s="8" t="n"/>
      <c r="AN314" s="8" t="n"/>
      <c r="AO314" s="8" t="n"/>
      <c r="AP314" s="8" t="n"/>
      <c r="AQ314" s="8" t="n"/>
      <c r="AR314" s="8" t="n"/>
      <c r="AS314" s="8" t="n"/>
      <c r="AT314" s="8" t="n"/>
      <c r="AU314" s="8" t="n"/>
      <c r="AV314" s="8" t="n"/>
      <c r="AW314" s="8" t="n"/>
      <c r="AX314" s="8" t="n"/>
      <c r="AY314" s="8" t="n"/>
      <c r="AZ314" s="8" t="n"/>
    </row>
    <row r="315" customFormat="1" s="12">
      <c r="D315" s="13" t="n"/>
      <c r="E315" s="8" t="n"/>
      <c r="F315" s="8" t="n"/>
      <c r="G315" s="8" t="n"/>
      <c r="H315" s="8" t="n"/>
      <c r="I315" s="8" t="n"/>
      <c r="J315" s="8" t="n"/>
      <c r="K315" s="8" t="n"/>
      <c r="L315" s="8" t="n"/>
      <c r="M315" s="8" t="n"/>
      <c r="N315" s="8" t="n"/>
      <c r="O315" s="8" t="n"/>
      <c r="P315" s="8" t="n"/>
      <c r="Q315" s="8" t="n"/>
      <c r="R315" s="8" t="n"/>
      <c r="S315" s="8" t="n"/>
      <c r="T315" s="8" t="n"/>
      <c r="U315" s="8" t="n"/>
      <c r="V315" s="8" t="n"/>
      <c r="W315" s="8" t="n"/>
      <c r="X315" s="8" t="n"/>
      <c r="Y315" s="8" t="n"/>
      <c r="Z315" s="8" t="n"/>
      <c r="AA315" s="8" t="n"/>
      <c r="AB315" s="8" t="n"/>
      <c r="AC315" s="8" t="n"/>
      <c r="AD315" s="8" t="n"/>
      <c r="AE315" s="8" t="n"/>
      <c r="AF315" s="8" t="n"/>
      <c r="AG315" s="8" t="n"/>
      <c r="AH315" s="8" t="n"/>
      <c r="AI315" s="8" t="n"/>
      <c r="AJ315" s="8" t="n"/>
      <c r="AK315" s="8" t="n"/>
      <c r="AL315" s="8" t="n"/>
      <c r="AM315" s="8" t="n"/>
      <c r="AN315" s="8" t="n"/>
      <c r="AO315" s="8" t="n"/>
      <c r="AP315" s="8" t="n"/>
      <c r="AQ315" s="8" t="n"/>
      <c r="AR315" s="8" t="n"/>
      <c r="AS315" s="8" t="n"/>
      <c r="AT315" s="8" t="n"/>
      <c r="AU315" s="8" t="n"/>
      <c r="AV315" s="8" t="n"/>
      <c r="AW315" s="8" t="n"/>
      <c r="AX315" s="8" t="n"/>
      <c r="AY315" s="8" t="n"/>
      <c r="AZ315" s="8" t="n"/>
    </row>
    <row r="316" customFormat="1" s="12">
      <c r="D316" s="13" t="n"/>
      <c r="E316" s="8" t="n"/>
      <c r="F316" s="8" t="n"/>
      <c r="G316" s="8" t="n"/>
      <c r="H316" s="8" t="n"/>
      <c r="I316" s="8" t="n"/>
      <c r="J316" s="8" t="n"/>
      <c r="K316" s="8" t="n"/>
      <c r="L316" s="8" t="n"/>
      <c r="M316" s="8" t="n"/>
      <c r="N316" s="8" t="n"/>
      <c r="O316" s="8" t="n"/>
      <c r="P316" s="8" t="n"/>
      <c r="Q316" s="8" t="n"/>
      <c r="R316" s="8" t="n"/>
      <c r="S316" s="8" t="n"/>
      <c r="T316" s="8" t="n"/>
      <c r="U316" s="8" t="n"/>
      <c r="V316" s="8" t="n"/>
      <c r="W316" s="8" t="n"/>
      <c r="X316" s="8" t="n"/>
      <c r="Y316" s="8" t="n"/>
      <c r="Z316" s="8" t="n"/>
      <c r="AA316" s="8" t="n"/>
      <c r="AB316" s="8" t="n"/>
      <c r="AC316" s="8" t="n"/>
      <c r="AD316" s="8" t="n"/>
      <c r="AE316" s="8" t="n"/>
      <c r="AF316" s="8" t="n"/>
      <c r="AG316" s="8" t="n"/>
      <c r="AH316" s="8" t="n"/>
      <c r="AI316" s="8" t="n"/>
      <c r="AJ316" s="8" t="n"/>
      <c r="AK316" s="8" t="n"/>
      <c r="AL316" s="8" t="n"/>
      <c r="AM316" s="8" t="n"/>
      <c r="AN316" s="8" t="n"/>
      <c r="AO316" s="8" t="n"/>
      <c r="AP316" s="8" t="n"/>
      <c r="AQ316" s="8" t="n"/>
      <c r="AR316" s="8" t="n"/>
      <c r="AS316" s="8" t="n"/>
      <c r="AT316" s="8" t="n"/>
      <c r="AU316" s="8" t="n"/>
      <c r="AV316" s="8" t="n"/>
      <c r="AW316" s="8" t="n"/>
      <c r="AX316" s="8" t="n"/>
      <c r="AY316" s="8" t="n"/>
      <c r="AZ316" s="8" t="n"/>
    </row>
    <row r="317" customFormat="1" s="12">
      <c r="D317" s="13" t="n"/>
      <c r="E317" s="8" t="n"/>
      <c r="F317" s="8" t="n"/>
      <c r="G317" s="8" t="n"/>
      <c r="H317" s="8" t="n"/>
      <c r="I317" s="8" t="n"/>
      <c r="J317" s="8" t="n"/>
      <c r="K317" s="8" t="n"/>
      <c r="L317" s="8" t="n"/>
      <c r="M317" s="8" t="n"/>
      <c r="N317" s="8" t="n"/>
      <c r="O317" s="8" t="n"/>
      <c r="P317" s="8" t="n"/>
      <c r="Q317" s="8" t="n"/>
      <c r="R317" s="8" t="n"/>
      <c r="S317" s="8" t="n"/>
      <c r="T317" s="8" t="n"/>
      <c r="U317" s="8" t="n"/>
      <c r="V317" s="8" t="n"/>
      <c r="W317" s="8" t="n"/>
      <c r="X317" s="8" t="n"/>
      <c r="Y317" s="8" t="n"/>
      <c r="Z317" s="8" t="n"/>
      <c r="AA317" s="8" t="n"/>
      <c r="AB317" s="8" t="n"/>
      <c r="AC317" s="8" t="n"/>
      <c r="AD317" s="8" t="n"/>
      <c r="AE317" s="8" t="n"/>
      <c r="AF317" s="8" t="n"/>
      <c r="AG317" s="8" t="n"/>
      <c r="AH317" s="8" t="n"/>
      <c r="AI317" s="8" t="n"/>
      <c r="AJ317" s="8" t="n"/>
      <c r="AK317" s="8" t="n"/>
      <c r="AL317" s="8" t="n"/>
      <c r="AM317" s="8" t="n"/>
      <c r="AN317" s="8" t="n"/>
      <c r="AO317" s="8" t="n"/>
      <c r="AP317" s="8" t="n"/>
      <c r="AQ317" s="8" t="n"/>
      <c r="AR317" s="8" t="n"/>
      <c r="AS317" s="8" t="n"/>
      <c r="AT317" s="8" t="n"/>
      <c r="AU317" s="8" t="n"/>
      <c r="AV317" s="8" t="n"/>
      <c r="AW317" s="8" t="n"/>
      <c r="AX317" s="8" t="n"/>
      <c r="AY317" s="8" t="n"/>
      <c r="AZ317" s="8" t="n"/>
    </row>
    <row r="318" customFormat="1" s="12">
      <c r="D318" s="13" t="n"/>
      <c r="E318" s="8" t="n"/>
      <c r="F318" s="8" t="n"/>
      <c r="G318" s="8" t="n"/>
      <c r="H318" s="8" t="n"/>
      <c r="I318" s="8" t="n"/>
      <c r="J318" s="8" t="n"/>
      <c r="K318" s="8" t="n"/>
      <c r="L318" s="8" t="n"/>
      <c r="M318" s="8" t="n"/>
      <c r="N318" s="8" t="n"/>
      <c r="O318" s="8" t="n"/>
      <c r="P318" s="8" t="n"/>
      <c r="Q318" s="8" t="n"/>
      <c r="R318" s="8" t="n"/>
      <c r="S318" s="8" t="n"/>
      <c r="T318" s="8" t="n"/>
      <c r="U318" s="8" t="n"/>
      <c r="V318" s="8" t="n"/>
      <c r="W318" s="8" t="n"/>
      <c r="X318" s="8" t="n"/>
      <c r="Y318" s="8" t="n"/>
      <c r="Z318" s="8" t="n"/>
      <c r="AA318" s="8" t="n"/>
      <c r="AB318" s="8" t="n"/>
      <c r="AC318" s="8" t="n"/>
      <c r="AD318" s="8" t="n"/>
      <c r="AE318" s="8" t="n"/>
      <c r="AF318" s="8" t="n"/>
      <c r="AG318" s="8" t="n"/>
      <c r="AH318" s="8" t="n"/>
      <c r="AI318" s="8" t="n"/>
      <c r="AJ318" s="8" t="n"/>
      <c r="AK318" s="8" t="n"/>
      <c r="AL318" s="8" t="n"/>
      <c r="AM318" s="8" t="n"/>
      <c r="AN318" s="8" t="n"/>
      <c r="AO318" s="8" t="n"/>
      <c r="AP318" s="8" t="n"/>
      <c r="AQ318" s="8" t="n"/>
      <c r="AR318" s="8" t="n"/>
      <c r="AS318" s="8" t="n"/>
      <c r="AT318" s="8" t="n"/>
      <c r="AU318" s="8" t="n"/>
      <c r="AV318" s="8" t="n"/>
      <c r="AW318" s="8" t="n"/>
      <c r="AX318" s="8" t="n"/>
      <c r="AY318" s="8" t="n"/>
      <c r="AZ318" s="8" t="n"/>
    </row>
    <row r="319" customFormat="1" s="12">
      <c r="D319" s="13" t="n"/>
      <c r="E319" s="8" t="n"/>
      <c r="F319" s="8" t="n"/>
      <c r="G319" s="8" t="n"/>
      <c r="H319" s="8" t="n"/>
      <c r="I319" s="8" t="n"/>
      <c r="J319" s="8" t="n"/>
      <c r="K319" s="8" t="n"/>
      <c r="L319" s="8" t="n"/>
      <c r="M319" s="8" t="n"/>
      <c r="N319" s="8" t="n"/>
      <c r="O319" s="8" t="n"/>
      <c r="P319" s="8" t="n"/>
      <c r="Q319" s="8" t="n"/>
      <c r="R319" s="8" t="n"/>
      <c r="S319" s="8" t="n"/>
      <c r="T319" s="8" t="n"/>
      <c r="U319" s="8" t="n"/>
      <c r="V319" s="8" t="n"/>
      <c r="W319" s="8" t="n"/>
      <c r="X319" s="8" t="n"/>
      <c r="Y319" s="8" t="n"/>
      <c r="Z319" s="8" t="n"/>
      <c r="AA319" s="8" t="n"/>
      <c r="AB319" s="8" t="n"/>
      <c r="AC319" s="8" t="n"/>
      <c r="AD319" s="8" t="n"/>
      <c r="AE319" s="8" t="n"/>
      <c r="AF319" s="8" t="n"/>
      <c r="AG319" s="8" t="n"/>
      <c r="AH319" s="8" t="n"/>
      <c r="AI319" s="8" t="n"/>
      <c r="AJ319" s="8" t="n"/>
      <c r="AK319" s="8" t="n"/>
      <c r="AL319" s="8" t="n"/>
      <c r="AM319" s="8" t="n"/>
      <c r="AN319" s="8" t="n"/>
      <c r="AO319" s="8" t="n"/>
      <c r="AP319" s="8" t="n"/>
      <c r="AQ319" s="8" t="n"/>
      <c r="AR319" s="8" t="n"/>
      <c r="AS319" s="8" t="n"/>
      <c r="AT319" s="8" t="n"/>
      <c r="AU319" s="8" t="n"/>
      <c r="AV319" s="8" t="n"/>
      <c r="AW319" s="8" t="n"/>
      <c r="AX319" s="8" t="n"/>
      <c r="AY319" s="8" t="n"/>
      <c r="AZ319" s="8" t="n"/>
    </row>
    <row r="320" customFormat="1" s="12">
      <c r="D320" s="13" t="n"/>
      <c r="E320" s="8" t="n"/>
      <c r="F320" s="8" t="n"/>
      <c r="G320" s="8" t="n"/>
      <c r="H320" s="8" t="n"/>
      <c r="I320" s="8" t="n"/>
      <c r="J320" s="8" t="n"/>
      <c r="K320" s="8" t="n"/>
      <c r="L320" s="8" t="n"/>
      <c r="M320" s="8" t="n"/>
      <c r="N320" s="8" t="n"/>
      <c r="O320" s="8" t="n"/>
      <c r="P320" s="8" t="n"/>
      <c r="Q320" s="8" t="n"/>
      <c r="R320" s="8" t="n"/>
      <c r="S320" s="8" t="n"/>
      <c r="T320" s="8" t="n"/>
      <c r="U320" s="8" t="n"/>
      <c r="V320" s="8" t="n"/>
      <c r="W320" s="8" t="n"/>
      <c r="X320" s="8" t="n"/>
      <c r="Y320" s="8" t="n"/>
      <c r="Z320" s="8" t="n"/>
      <c r="AA320" s="8" t="n"/>
      <c r="AB320" s="8" t="n"/>
      <c r="AC320" s="8" t="n"/>
      <c r="AD320" s="8" t="n"/>
      <c r="AE320" s="8" t="n"/>
      <c r="AF320" s="8" t="n"/>
      <c r="AG320" s="8" t="n"/>
      <c r="AH320" s="8" t="n"/>
      <c r="AI320" s="8" t="n"/>
      <c r="AJ320" s="8" t="n"/>
      <c r="AK320" s="8" t="n"/>
      <c r="AL320" s="8" t="n"/>
      <c r="AM320" s="8" t="n"/>
      <c r="AN320" s="8" t="n"/>
      <c r="AO320" s="8" t="n"/>
      <c r="AP320" s="8" t="n"/>
      <c r="AQ320" s="8" t="n"/>
      <c r="AR320" s="8" t="n"/>
      <c r="AS320" s="8" t="n"/>
      <c r="AT320" s="8" t="n"/>
      <c r="AU320" s="8" t="n"/>
      <c r="AV320" s="8" t="n"/>
      <c r="AW320" s="8" t="n"/>
      <c r="AX320" s="8" t="n"/>
      <c r="AY320" s="8" t="n"/>
      <c r="AZ320" s="8" t="n"/>
    </row>
    <row r="321" customFormat="1" s="12">
      <c r="D321" s="13" t="n"/>
      <c r="E321" s="8" t="n"/>
      <c r="F321" s="8" t="n"/>
      <c r="G321" s="8" t="n"/>
      <c r="H321" s="8" t="n"/>
      <c r="I321" s="8" t="n"/>
      <c r="J321" s="8" t="n"/>
      <c r="K321" s="8" t="n"/>
      <c r="L321" s="8" t="n"/>
      <c r="M321" s="8" t="n"/>
      <c r="N321" s="8" t="n"/>
      <c r="O321" s="8" t="n"/>
      <c r="P321" s="8" t="n"/>
      <c r="Q321" s="8" t="n"/>
      <c r="R321" s="8" t="n"/>
      <c r="S321" s="8" t="n"/>
      <c r="T321" s="8" t="n"/>
      <c r="U321" s="8" t="n"/>
      <c r="V321" s="8" t="n"/>
      <c r="W321" s="8" t="n"/>
      <c r="X321" s="8" t="n"/>
      <c r="Y321" s="8" t="n"/>
      <c r="Z321" s="8" t="n"/>
      <c r="AA321" s="8" t="n"/>
      <c r="AB321" s="8" t="n"/>
      <c r="AC321" s="8" t="n"/>
      <c r="AD321" s="8" t="n"/>
      <c r="AE321" s="8" t="n"/>
      <c r="AF321" s="8" t="n"/>
      <c r="AG321" s="8" t="n"/>
      <c r="AH321" s="8" t="n"/>
      <c r="AI321" s="8" t="n"/>
      <c r="AJ321" s="8" t="n"/>
      <c r="AK321" s="8" t="n"/>
      <c r="AL321" s="8" t="n"/>
      <c r="AM321" s="8" t="n"/>
      <c r="AN321" s="8" t="n"/>
      <c r="AO321" s="8" t="n"/>
      <c r="AP321" s="8" t="n"/>
      <c r="AQ321" s="8" t="n"/>
      <c r="AR321" s="8" t="n"/>
      <c r="AS321" s="8" t="n"/>
      <c r="AT321" s="8" t="n"/>
      <c r="AU321" s="8" t="n"/>
      <c r="AV321" s="8" t="n"/>
      <c r="AW321" s="8" t="n"/>
      <c r="AX321" s="8" t="n"/>
      <c r="AY321" s="8" t="n"/>
      <c r="AZ321" s="8" t="n"/>
    </row>
    <row r="322" customFormat="1" s="12">
      <c r="D322" s="13" t="n"/>
      <c r="E322" s="8" t="n"/>
      <c r="F322" s="8" t="n"/>
      <c r="G322" s="8" t="n"/>
      <c r="H322" s="8" t="n"/>
      <c r="I322" s="8" t="n"/>
      <c r="J322" s="8" t="n"/>
      <c r="K322" s="8" t="n"/>
      <c r="L322" s="8" t="n"/>
      <c r="M322" s="8" t="n"/>
      <c r="N322" s="8" t="n"/>
      <c r="O322" s="8" t="n"/>
      <c r="P322" s="8" t="n"/>
      <c r="Q322" s="8" t="n"/>
      <c r="R322" s="8" t="n"/>
      <c r="S322" s="8" t="n"/>
      <c r="T322" s="8" t="n"/>
      <c r="U322" s="8" t="n"/>
      <c r="V322" s="8" t="n"/>
      <c r="W322" s="8" t="n"/>
      <c r="X322" s="8" t="n"/>
      <c r="Y322" s="8" t="n"/>
      <c r="Z322" s="8" t="n"/>
      <c r="AA322" s="8" t="n"/>
      <c r="AB322" s="8" t="n"/>
      <c r="AC322" s="8" t="n"/>
      <c r="AD322" s="8" t="n"/>
      <c r="AE322" s="8" t="n"/>
      <c r="AF322" s="8" t="n"/>
      <c r="AG322" s="8" t="n"/>
      <c r="AH322" s="8" t="n"/>
      <c r="AI322" s="8" t="n"/>
      <c r="AJ322" s="8" t="n"/>
      <c r="AK322" s="8" t="n"/>
      <c r="AL322" s="8" t="n"/>
      <c r="AM322" s="8" t="n"/>
      <c r="AN322" s="8" t="n"/>
      <c r="AO322" s="8" t="n"/>
      <c r="AP322" s="8" t="n"/>
      <c r="AQ322" s="8" t="n"/>
      <c r="AR322" s="8" t="n"/>
      <c r="AS322" s="8" t="n"/>
      <c r="AT322" s="8" t="n"/>
      <c r="AU322" s="8" t="n"/>
      <c r="AV322" s="8" t="n"/>
      <c r="AW322" s="8" t="n"/>
      <c r="AX322" s="8" t="n"/>
      <c r="AY322" s="8" t="n"/>
      <c r="AZ322" s="8" t="n"/>
    </row>
    <row r="323" customFormat="1" s="12">
      <c r="D323" s="13" t="n"/>
      <c r="E323" s="8" t="n"/>
      <c r="F323" s="8" t="n"/>
      <c r="G323" s="8" t="n"/>
      <c r="H323" s="8" t="n"/>
      <c r="I323" s="8" t="n"/>
      <c r="J323" s="8" t="n"/>
      <c r="K323" s="8" t="n"/>
      <c r="L323" s="8" t="n"/>
      <c r="M323" s="8" t="n"/>
      <c r="N323" s="8" t="n"/>
      <c r="O323" s="8" t="n"/>
      <c r="P323" s="8" t="n"/>
      <c r="Q323" s="8" t="n"/>
      <c r="R323" s="8" t="n"/>
      <c r="S323" s="8" t="n"/>
      <c r="T323" s="8" t="n"/>
      <c r="U323" s="8" t="n"/>
      <c r="V323" s="8" t="n"/>
      <c r="W323" s="8" t="n"/>
      <c r="X323" s="8" t="n"/>
      <c r="Y323" s="8" t="n"/>
      <c r="Z323" s="8" t="n"/>
      <c r="AA323" s="8" t="n"/>
      <c r="AB323" s="8" t="n"/>
      <c r="AC323" s="8" t="n"/>
      <c r="AD323" s="8" t="n"/>
      <c r="AE323" s="8" t="n"/>
      <c r="AF323" s="8" t="n"/>
      <c r="AG323" s="8" t="n"/>
      <c r="AH323" s="8" t="n"/>
      <c r="AI323" s="8" t="n"/>
      <c r="AJ323" s="8" t="n"/>
      <c r="AK323" s="8" t="n"/>
      <c r="AL323" s="8" t="n"/>
      <c r="AM323" s="8" t="n"/>
      <c r="AN323" s="8" t="n"/>
      <c r="AO323" s="8" t="n"/>
      <c r="AP323" s="8" t="n"/>
      <c r="AQ323" s="8" t="n"/>
      <c r="AR323" s="8" t="n"/>
      <c r="AS323" s="8" t="n"/>
      <c r="AT323" s="8" t="n"/>
      <c r="AU323" s="8" t="n"/>
      <c r="AV323" s="8" t="n"/>
      <c r="AW323" s="8" t="n"/>
      <c r="AX323" s="8" t="n"/>
      <c r="AY323" s="8" t="n"/>
      <c r="AZ323" s="8" t="n"/>
    </row>
    <row r="324" customFormat="1" s="12">
      <c r="D324" s="13" t="n"/>
      <c r="E324" s="8" t="n"/>
      <c r="F324" s="8" t="n"/>
      <c r="G324" s="8" t="n"/>
      <c r="H324" s="8" t="n"/>
      <c r="I324" s="8" t="n"/>
      <c r="J324" s="8" t="n"/>
      <c r="K324" s="8" t="n"/>
      <c r="L324" s="8" t="n"/>
      <c r="M324" s="8" t="n"/>
      <c r="N324" s="8" t="n"/>
      <c r="O324" s="8" t="n"/>
      <c r="P324" s="8" t="n"/>
      <c r="Q324" s="8" t="n"/>
      <c r="R324" s="8" t="n"/>
      <c r="S324" s="8" t="n"/>
      <c r="T324" s="8" t="n"/>
      <c r="U324" s="8" t="n"/>
      <c r="V324" s="8" t="n"/>
      <c r="W324" s="8" t="n"/>
      <c r="X324" s="8" t="n"/>
      <c r="Y324" s="8" t="n"/>
      <c r="Z324" s="8" t="n"/>
      <c r="AA324" s="8" t="n"/>
      <c r="AB324" s="8" t="n"/>
      <c r="AC324" s="8" t="n"/>
      <c r="AD324" s="8" t="n"/>
      <c r="AE324" s="8" t="n"/>
      <c r="AF324" s="8" t="n"/>
      <c r="AG324" s="8" t="n"/>
      <c r="AH324" s="8" t="n"/>
      <c r="AI324" s="8" t="n"/>
      <c r="AJ324" s="8" t="n"/>
      <c r="AK324" s="8" t="n"/>
      <c r="AL324" s="8" t="n"/>
      <c r="AM324" s="8" t="n"/>
      <c r="AN324" s="8" t="n"/>
      <c r="AO324" s="8" t="n"/>
      <c r="AP324" s="8" t="n"/>
      <c r="AQ324" s="8" t="n"/>
      <c r="AR324" s="8" t="n"/>
      <c r="AS324" s="8" t="n"/>
      <c r="AT324" s="8" t="n"/>
      <c r="AU324" s="8" t="n"/>
      <c r="AV324" s="8" t="n"/>
      <c r="AW324" s="8" t="n"/>
      <c r="AX324" s="8" t="n"/>
      <c r="AY324" s="8" t="n"/>
      <c r="AZ324" s="8" t="n"/>
    </row>
    <row r="325" customFormat="1" s="12">
      <c r="D325" s="13" t="n"/>
      <c r="E325" s="8" t="n"/>
      <c r="F325" s="8" t="n"/>
      <c r="G325" s="8" t="n"/>
      <c r="H325" s="8" t="n"/>
      <c r="I325" s="8" t="n"/>
      <c r="J325" s="8" t="n"/>
      <c r="K325" s="8" t="n"/>
      <c r="L325" s="8" t="n"/>
      <c r="M325" s="8" t="n"/>
      <c r="N325" s="8" t="n"/>
      <c r="O325" s="8" t="n"/>
      <c r="P325" s="8" t="n"/>
      <c r="Q325" s="8" t="n"/>
      <c r="R325" s="8" t="n"/>
      <c r="S325" s="8" t="n"/>
      <c r="T325" s="8" t="n"/>
      <c r="U325" s="8" t="n"/>
      <c r="V325" s="8" t="n"/>
      <c r="W325" s="8" t="n"/>
      <c r="X325" s="8" t="n"/>
      <c r="Y325" s="8" t="n"/>
      <c r="Z325" s="8" t="n"/>
      <c r="AA325" s="8" t="n"/>
      <c r="AB325" s="8" t="n"/>
      <c r="AC325" s="8" t="n"/>
      <c r="AD325" s="8" t="n"/>
      <c r="AE325" s="8" t="n"/>
      <c r="AF325" s="8" t="n"/>
      <c r="AG325" s="8" t="n"/>
      <c r="AH325" s="8" t="n"/>
      <c r="AI325" s="8" t="n"/>
      <c r="AJ325" s="8" t="n"/>
      <c r="AK325" s="8" t="n"/>
      <c r="AL325" s="8" t="n"/>
      <c r="AM325" s="8" t="n"/>
      <c r="AN325" s="8" t="n"/>
      <c r="AO325" s="8" t="n"/>
      <c r="AP325" s="8" t="n"/>
      <c r="AQ325" s="8" t="n"/>
      <c r="AR325" s="8" t="n"/>
      <c r="AS325" s="8" t="n"/>
      <c r="AT325" s="8" t="n"/>
      <c r="AU325" s="8" t="n"/>
      <c r="AV325" s="8" t="n"/>
      <c r="AW325" s="8" t="n"/>
      <c r="AX325" s="8" t="n"/>
      <c r="AY325" s="8" t="n"/>
      <c r="AZ325" s="8" t="n"/>
    </row>
    <row r="326" customFormat="1" s="12">
      <c r="D326" s="13" t="n"/>
      <c r="E326" s="8" t="n"/>
      <c r="F326" s="8" t="n"/>
      <c r="G326" s="8" t="n"/>
      <c r="H326" s="8" t="n"/>
      <c r="I326" s="8" t="n"/>
      <c r="J326" s="8" t="n"/>
      <c r="K326" s="8" t="n"/>
      <c r="L326" s="8" t="n"/>
      <c r="M326" s="8" t="n"/>
      <c r="N326" s="8" t="n"/>
      <c r="O326" s="8" t="n"/>
      <c r="P326" s="8" t="n"/>
      <c r="Q326" s="8" t="n"/>
      <c r="R326" s="8" t="n"/>
      <c r="S326" s="8" t="n"/>
      <c r="T326" s="8" t="n"/>
      <c r="U326" s="8" t="n"/>
      <c r="V326" s="8" t="n"/>
      <c r="W326" s="8" t="n"/>
      <c r="X326" s="8" t="n"/>
      <c r="Y326" s="8" t="n"/>
      <c r="Z326" s="8" t="n"/>
      <c r="AA326" s="8" t="n"/>
      <c r="AB326" s="8" t="n"/>
      <c r="AC326" s="8" t="n"/>
      <c r="AD326" s="8" t="n"/>
      <c r="AE326" s="8" t="n"/>
      <c r="AF326" s="8" t="n"/>
      <c r="AG326" s="8" t="n"/>
      <c r="AH326" s="8" t="n"/>
      <c r="AI326" s="8" t="n"/>
      <c r="AJ326" s="8" t="n"/>
      <c r="AK326" s="8" t="n"/>
      <c r="AL326" s="8" t="n"/>
      <c r="AM326" s="8" t="n"/>
      <c r="AN326" s="8" t="n"/>
      <c r="AO326" s="8" t="n"/>
      <c r="AP326" s="8" t="n"/>
      <c r="AQ326" s="8" t="n"/>
      <c r="AR326" s="8" t="n"/>
      <c r="AS326" s="8" t="n"/>
      <c r="AT326" s="8" t="n"/>
      <c r="AU326" s="8" t="n"/>
      <c r="AV326" s="8" t="n"/>
      <c r="AW326" s="8" t="n"/>
      <c r="AX326" s="8" t="n"/>
      <c r="AY326" s="8" t="n"/>
      <c r="AZ326" s="8" t="n"/>
    </row>
    <row r="327" customFormat="1" s="12">
      <c r="D327" s="13" t="n"/>
      <c r="E327" s="8" t="n"/>
      <c r="F327" s="8" t="n"/>
      <c r="G327" s="8" t="n"/>
      <c r="H327" s="8" t="n"/>
      <c r="I327" s="8" t="n"/>
      <c r="J327" s="8" t="n"/>
      <c r="K327" s="8" t="n"/>
      <c r="L327" s="8" t="n"/>
      <c r="M327" s="8" t="n"/>
      <c r="N327" s="8" t="n"/>
      <c r="O327" s="8" t="n"/>
      <c r="P327" s="8" t="n"/>
      <c r="Q327" s="8" t="n"/>
      <c r="R327" s="8" t="n"/>
      <c r="S327" s="8" t="n"/>
      <c r="T327" s="8" t="n"/>
      <c r="U327" s="8" t="n"/>
      <c r="V327" s="8" t="n"/>
      <c r="W327" s="8" t="n"/>
      <c r="X327" s="8" t="n"/>
      <c r="Y327" s="8" t="n"/>
      <c r="Z327" s="8" t="n"/>
      <c r="AA327" s="8" t="n"/>
      <c r="AB327" s="8" t="n"/>
      <c r="AC327" s="8" t="n"/>
      <c r="AD327" s="8" t="n"/>
      <c r="AE327" s="8" t="n"/>
      <c r="AF327" s="8" t="n"/>
      <c r="AG327" s="8" t="n"/>
      <c r="AH327" s="8" t="n"/>
      <c r="AI327" s="8" t="n"/>
      <c r="AJ327" s="8" t="n"/>
      <c r="AK327" s="8" t="n"/>
      <c r="AL327" s="8" t="n"/>
      <c r="AM327" s="8" t="n"/>
      <c r="AN327" s="8" t="n"/>
      <c r="AO327" s="8" t="n"/>
      <c r="AP327" s="8" t="n"/>
      <c r="AQ327" s="8" t="n"/>
      <c r="AR327" s="8" t="n"/>
      <c r="AS327" s="8" t="n"/>
      <c r="AT327" s="8" t="n"/>
      <c r="AU327" s="8" t="n"/>
      <c r="AV327" s="8" t="n"/>
      <c r="AW327" s="8" t="n"/>
      <c r="AX327" s="8" t="n"/>
      <c r="AY327" s="8" t="n"/>
      <c r="AZ327" s="8" t="n"/>
    </row>
    <row r="328" customFormat="1" s="12">
      <c r="D328" s="13" t="n"/>
      <c r="E328" s="8" t="n"/>
      <c r="F328" s="8" t="n"/>
      <c r="G328" s="8" t="n"/>
      <c r="H328" s="8" t="n"/>
      <c r="I328" s="8" t="n"/>
      <c r="J328" s="8" t="n"/>
      <c r="K328" s="8" t="n"/>
      <c r="L328" s="8" t="n"/>
      <c r="M328" s="8" t="n"/>
      <c r="N328" s="8" t="n"/>
      <c r="O328" s="8" t="n"/>
      <c r="P328" s="8" t="n"/>
      <c r="Q328" s="8" t="n"/>
      <c r="R328" s="8" t="n"/>
      <c r="S328" s="8" t="n"/>
      <c r="T328" s="8" t="n"/>
      <c r="U328" s="8" t="n"/>
      <c r="V328" s="8" t="n"/>
      <c r="W328" s="8" t="n"/>
      <c r="X328" s="8" t="n"/>
      <c r="Y328" s="8" t="n"/>
      <c r="Z328" s="8" t="n"/>
      <c r="AA328" s="8" t="n"/>
      <c r="AB328" s="8" t="n"/>
      <c r="AC328" s="8" t="n"/>
      <c r="AD328" s="8" t="n"/>
      <c r="AE328" s="8" t="n"/>
      <c r="AF328" s="8" t="n"/>
      <c r="AG328" s="8" t="n"/>
      <c r="AH328" s="8" t="n"/>
      <c r="AI328" s="8" t="n"/>
      <c r="AJ328" s="8" t="n"/>
      <c r="AK328" s="8" t="n"/>
      <c r="AL328" s="8" t="n"/>
      <c r="AM328" s="8" t="n"/>
      <c r="AN328" s="8" t="n"/>
      <c r="AO328" s="8" t="n"/>
      <c r="AP328" s="8" t="n"/>
      <c r="AQ328" s="8" t="n"/>
      <c r="AR328" s="8" t="n"/>
      <c r="AS328" s="8" t="n"/>
      <c r="AT328" s="8" t="n"/>
      <c r="AU328" s="8" t="n"/>
      <c r="AV328" s="8" t="n"/>
      <c r="AW328" s="8" t="n"/>
      <c r="AX328" s="8" t="n"/>
      <c r="AY328" s="8" t="n"/>
      <c r="AZ328" s="8" t="n"/>
    </row>
    <row r="329" customFormat="1" s="12">
      <c r="D329" s="13" t="n"/>
      <c r="E329" s="8" t="n"/>
      <c r="F329" s="8" t="n"/>
      <c r="G329" s="8" t="n"/>
      <c r="H329" s="8" t="n"/>
      <c r="I329" s="8" t="n"/>
      <c r="J329" s="8" t="n"/>
      <c r="K329" s="8" t="n"/>
      <c r="L329" s="8" t="n"/>
      <c r="M329" s="8" t="n"/>
      <c r="N329" s="8" t="n"/>
      <c r="O329" s="8" t="n"/>
      <c r="P329" s="8" t="n"/>
      <c r="Q329" s="8" t="n"/>
      <c r="R329" s="8" t="n"/>
      <c r="S329" s="8" t="n"/>
      <c r="T329" s="8" t="n"/>
      <c r="U329" s="8" t="n"/>
      <c r="V329" s="8" t="n"/>
      <c r="W329" s="8" t="n"/>
      <c r="X329" s="8" t="n"/>
      <c r="Y329" s="8" t="n"/>
      <c r="Z329" s="8" t="n"/>
      <c r="AA329" s="8" t="n"/>
      <c r="AB329" s="8" t="n"/>
      <c r="AC329" s="8" t="n"/>
      <c r="AD329" s="8" t="n"/>
      <c r="AE329" s="8" t="n"/>
      <c r="AF329" s="8" t="n"/>
      <c r="AG329" s="8" t="n"/>
      <c r="AH329" s="8" t="n"/>
      <c r="AI329" s="8" t="n"/>
      <c r="AJ329" s="8" t="n"/>
      <c r="AK329" s="8" t="n"/>
      <c r="AL329" s="8" t="n"/>
      <c r="AM329" s="8" t="n"/>
      <c r="AN329" s="8" t="n"/>
      <c r="AO329" s="8" t="n"/>
      <c r="AP329" s="8" t="n"/>
      <c r="AQ329" s="8" t="n"/>
      <c r="AR329" s="8" t="n"/>
      <c r="AS329" s="8" t="n"/>
      <c r="AT329" s="8" t="n"/>
      <c r="AU329" s="8" t="n"/>
      <c r="AV329" s="8" t="n"/>
      <c r="AW329" s="8" t="n"/>
      <c r="AX329" s="8" t="n"/>
      <c r="AY329" s="8" t="n"/>
      <c r="AZ329" s="8" t="n"/>
    </row>
    <row r="330" customFormat="1" s="12">
      <c r="D330" s="13" t="n"/>
      <c r="E330" s="8" t="n"/>
      <c r="F330" s="8" t="n"/>
      <c r="G330" s="8" t="n"/>
      <c r="H330" s="8" t="n"/>
      <c r="I330" s="8" t="n"/>
      <c r="J330" s="8" t="n"/>
      <c r="K330" s="8" t="n"/>
      <c r="L330" s="8" t="n"/>
      <c r="M330" s="8" t="n"/>
      <c r="N330" s="8" t="n"/>
      <c r="O330" s="8" t="n"/>
      <c r="P330" s="8" t="n"/>
      <c r="Q330" s="8" t="n"/>
      <c r="R330" s="8" t="n"/>
      <c r="S330" s="8" t="n"/>
      <c r="T330" s="8" t="n"/>
      <c r="U330" s="8" t="n"/>
      <c r="V330" s="8" t="n"/>
      <c r="W330" s="8" t="n"/>
      <c r="X330" s="8" t="n"/>
      <c r="Y330" s="8" t="n"/>
      <c r="Z330" s="8" t="n"/>
      <c r="AA330" s="8" t="n"/>
      <c r="AB330" s="8" t="n"/>
      <c r="AC330" s="8" t="n"/>
      <c r="AD330" s="8" t="n"/>
      <c r="AE330" s="8" t="n"/>
      <c r="AF330" s="8" t="n"/>
      <c r="AG330" s="8" t="n"/>
      <c r="AH330" s="8" t="n"/>
      <c r="AI330" s="8" t="n"/>
      <c r="AJ330" s="8" t="n"/>
      <c r="AK330" s="8" t="n"/>
      <c r="AL330" s="8" t="n"/>
      <c r="AM330" s="8" t="n"/>
      <c r="AN330" s="8" t="n"/>
      <c r="AO330" s="8" t="n"/>
      <c r="AP330" s="8" t="n"/>
      <c r="AQ330" s="8" t="n"/>
      <c r="AR330" s="8" t="n"/>
      <c r="AS330" s="8" t="n"/>
      <c r="AT330" s="8" t="n"/>
      <c r="AU330" s="8" t="n"/>
      <c r="AV330" s="8" t="n"/>
      <c r="AW330" s="8" t="n"/>
      <c r="AX330" s="8" t="n"/>
      <c r="AY330" s="8" t="n"/>
      <c r="AZ330" s="8" t="n"/>
    </row>
    <row r="331" customFormat="1" s="12">
      <c r="D331" s="13" t="n"/>
      <c r="E331" s="8" t="n"/>
      <c r="F331" s="8" t="n"/>
      <c r="G331" s="8" t="n"/>
      <c r="H331" s="8" t="n"/>
      <c r="I331" s="8" t="n"/>
      <c r="J331" s="8" t="n"/>
      <c r="K331" s="8" t="n"/>
      <c r="L331" s="8" t="n"/>
      <c r="M331" s="8" t="n"/>
      <c r="N331" s="8" t="n"/>
      <c r="O331" s="8" t="n"/>
      <c r="P331" s="8" t="n"/>
      <c r="Q331" s="8" t="n"/>
      <c r="R331" s="8" t="n"/>
      <c r="S331" s="8" t="n"/>
      <c r="T331" s="8" t="n"/>
      <c r="U331" s="8" t="n"/>
      <c r="V331" s="8" t="n"/>
      <c r="W331" s="8" t="n"/>
      <c r="X331" s="8" t="n"/>
      <c r="Y331" s="8" t="n"/>
      <c r="Z331" s="8" t="n"/>
      <c r="AA331" s="8" t="n"/>
      <c r="AB331" s="8" t="n"/>
      <c r="AC331" s="8" t="n"/>
      <c r="AD331" s="8" t="n"/>
      <c r="AE331" s="8" t="n"/>
      <c r="AF331" s="8" t="n"/>
      <c r="AG331" s="8" t="n"/>
      <c r="AH331" s="8" t="n"/>
      <c r="AI331" s="8" t="n"/>
      <c r="AJ331" s="8" t="n"/>
      <c r="AK331" s="8" t="n"/>
      <c r="AL331" s="8" t="n"/>
      <c r="AM331" s="8" t="n"/>
      <c r="AN331" s="8" t="n"/>
      <c r="AO331" s="8" t="n"/>
      <c r="AP331" s="8" t="n"/>
      <c r="AQ331" s="8" t="n"/>
      <c r="AR331" s="8" t="n"/>
      <c r="AS331" s="8" t="n"/>
      <c r="AT331" s="8" t="n"/>
      <c r="AU331" s="8" t="n"/>
      <c r="AV331" s="8" t="n"/>
      <c r="AW331" s="8" t="n"/>
      <c r="AX331" s="8" t="n"/>
      <c r="AY331" s="8" t="n"/>
      <c r="AZ331" s="8" t="n"/>
    </row>
    <row r="332" customFormat="1" s="12">
      <c r="D332" s="13" t="n"/>
      <c r="E332" s="8" t="n"/>
      <c r="F332" s="8" t="n"/>
      <c r="G332" s="8" t="n"/>
      <c r="H332" s="8" t="n"/>
      <c r="I332" s="8" t="n"/>
      <c r="J332" s="8" t="n"/>
      <c r="K332" s="8" t="n"/>
      <c r="L332" s="8" t="n"/>
      <c r="M332" s="8" t="n"/>
      <c r="N332" s="8" t="n"/>
      <c r="O332" s="8" t="n"/>
      <c r="P332" s="8" t="n"/>
      <c r="Q332" s="8" t="n"/>
      <c r="R332" s="8" t="n"/>
      <c r="S332" s="8" t="n"/>
      <c r="T332" s="8" t="n"/>
      <c r="U332" s="8" t="n"/>
      <c r="V332" s="8" t="n"/>
      <c r="W332" s="8" t="n"/>
      <c r="X332" s="8" t="n"/>
      <c r="Y332" s="8" t="n"/>
      <c r="Z332" s="8" t="n"/>
      <c r="AA332" s="8" t="n"/>
      <c r="AB332" s="8" t="n"/>
      <c r="AC332" s="8" t="n"/>
      <c r="AD332" s="8" t="n"/>
      <c r="AE332" s="8" t="n"/>
      <c r="AF332" s="8" t="n"/>
      <c r="AG332" s="8" t="n"/>
      <c r="AH332" s="8" t="n"/>
      <c r="AI332" s="8" t="n"/>
      <c r="AJ332" s="8" t="n"/>
      <c r="AK332" s="8" t="n"/>
      <c r="AL332" s="8" t="n"/>
      <c r="AM332" s="8" t="n"/>
      <c r="AN332" s="8" t="n"/>
      <c r="AO332" s="8" t="n"/>
      <c r="AP332" s="8" t="n"/>
      <c r="AQ332" s="8" t="n"/>
      <c r="AR332" s="8" t="n"/>
      <c r="AS332" s="8" t="n"/>
      <c r="AT332" s="8" t="n"/>
      <c r="AU332" s="8" t="n"/>
      <c r="AV332" s="8" t="n"/>
      <c r="AW332" s="8" t="n"/>
      <c r="AX332" s="8" t="n"/>
      <c r="AY332" s="8" t="n"/>
      <c r="AZ332" s="8" t="n"/>
    </row>
    <row r="333" customFormat="1" s="12">
      <c r="D333" s="13" t="n"/>
      <c r="E333" s="8" t="n"/>
      <c r="F333" s="8" t="n"/>
      <c r="G333" s="8" t="n"/>
      <c r="H333" s="8" t="n"/>
      <c r="I333" s="8" t="n"/>
      <c r="J333" s="8" t="n"/>
      <c r="K333" s="8" t="n"/>
      <c r="L333" s="8" t="n"/>
      <c r="M333" s="8" t="n"/>
      <c r="N333" s="8" t="n"/>
      <c r="O333" s="8" t="n"/>
      <c r="P333" s="8" t="n"/>
      <c r="Q333" s="8" t="n"/>
      <c r="R333" s="8" t="n"/>
      <c r="S333" s="8" t="n"/>
      <c r="T333" s="8" t="n"/>
      <c r="U333" s="8" t="n"/>
      <c r="V333" s="8" t="n"/>
      <c r="W333" s="8" t="n"/>
      <c r="X333" s="8" t="n"/>
      <c r="Y333" s="8" t="n"/>
      <c r="Z333" s="8" t="n"/>
      <c r="AA333" s="8" t="n"/>
      <c r="AB333" s="8" t="n"/>
      <c r="AC333" s="8" t="n"/>
      <c r="AD333" s="8" t="n"/>
      <c r="AE333" s="8" t="n"/>
      <c r="AF333" s="8" t="n"/>
      <c r="AG333" s="8" t="n"/>
      <c r="AH333" s="8" t="n"/>
      <c r="AI333" s="8" t="n"/>
      <c r="AJ333" s="8" t="n"/>
      <c r="AK333" s="8" t="n"/>
      <c r="AL333" s="8" t="n"/>
      <c r="AM333" s="8" t="n"/>
      <c r="AN333" s="8" t="n"/>
      <c r="AO333" s="8" t="n"/>
      <c r="AP333" s="8" t="n"/>
      <c r="AQ333" s="8" t="n"/>
      <c r="AR333" s="8" t="n"/>
      <c r="AS333" s="8" t="n"/>
      <c r="AT333" s="8" t="n"/>
      <c r="AU333" s="8" t="n"/>
      <c r="AV333" s="8" t="n"/>
      <c r="AW333" s="8" t="n"/>
      <c r="AX333" s="8" t="n"/>
      <c r="AY333" s="8" t="n"/>
      <c r="AZ333" s="8" t="n"/>
    </row>
    <row r="334" customFormat="1" s="12">
      <c r="D334" s="13" t="n"/>
      <c r="E334" s="8" t="n"/>
      <c r="F334" s="8" t="n"/>
      <c r="G334" s="8" t="n"/>
      <c r="H334" s="8" t="n"/>
      <c r="I334" s="8" t="n"/>
      <c r="J334" s="8" t="n"/>
      <c r="K334" s="8" t="n"/>
      <c r="L334" s="8" t="n"/>
      <c r="M334" s="8" t="n"/>
      <c r="N334" s="8" t="n"/>
      <c r="O334" s="8" t="n"/>
      <c r="P334" s="8" t="n"/>
      <c r="Q334" s="8" t="n"/>
      <c r="R334" s="8" t="n"/>
      <c r="S334" s="8" t="n"/>
      <c r="T334" s="8" t="n"/>
      <c r="U334" s="8" t="n"/>
      <c r="V334" s="8" t="n"/>
      <c r="W334" s="8" t="n"/>
      <c r="X334" s="8" t="n"/>
      <c r="Y334" s="8" t="n"/>
      <c r="Z334" s="8" t="n"/>
      <c r="AA334" s="8" t="n"/>
      <c r="AB334" s="8" t="n"/>
      <c r="AC334" s="8" t="n"/>
      <c r="AD334" s="8" t="n"/>
      <c r="AE334" s="8" t="n"/>
      <c r="AF334" s="8" t="n"/>
      <c r="AG334" s="8" t="n"/>
      <c r="AH334" s="8" t="n"/>
      <c r="AI334" s="8" t="n"/>
      <c r="AJ334" s="8" t="n"/>
      <c r="AK334" s="8" t="n"/>
      <c r="AL334" s="8" t="n"/>
      <c r="AM334" s="8" t="n"/>
      <c r="AN334" s="8" t="n"/>
      <c r="AO334" s="8" t="n"/>
      <c r="AP334" s="8" t="n"/>
      <c r="AQ334" s="8" t="n"/>
      <c r="AR334" s="8" t="n"/>
      <c r="AS334" s="8" t="n"/>
      <c r="AT334" s="8" t="n"/>
      <c r="AU334" s="8" t="n"/>
      <c r="AV334" s="8" t="n"/>
      <c r="AW334" s="8" t="n"/>
      <c r="AX334" s="8" t="n"/>
      <c r="AY334" s="8" t="n"/>
      <c r="AZ334" s="8" t="n"/>
    </row>
    <row r="335" customFormat="1" s="12">
      <c r="D335" s="13" t="n"/>
      <c r="E335" s="8" t="n"/>
      <c r="F335" s="8" t="n"/>
      <c r="G335" s="8" t="n"/>
      <c r="H335" s="8" t="n"/>
      <c r="I335" s="8" t="n"/>
      <c r="J335" s="8" t="n"/>
      <c r="K335" s="8" t="n"/>
      <c r="L335" s="8" t="n"/>
      <c r="M335" s="8" t="n"/>
      <c r="N335" s="8" t="n"/>
      <c r="O335" s="8" t="n"/>
      <c r="P335" s="8" t="n"/>
      <c r="Q335" s="8" t="n"/>
      <c r="R335" s="8" t="n"/>
      <c r="S335" s="8" t="n"/>
      <c r="T335" s="8" t="n"/>
      <c r="U335" s="8" t="n"/>
      <c r="V335" s="8" t="n"/>
      <c r="W335" s="8" t="n"/>
      <c r="X335" s="8" t="n"/>
      <c r="Y335" s="8" t="n"/>
      <c r="Z335" s="8" t="n"/>
      <c r="AA335" s="8" t="n"/>
      <c r="AB335" s="8" t="n"/>
      <c r="AC335" s="8" t="n"/>
      <c r="AD335" s="8" t="n"/>
      <c r="AE335" s="8" t="n"/>
      <c r="AF335" s="8" t="n"/>
      <c r="AG335" s="8" t="n"/>
      <c r="AH335" s="8" t="n"/>
      <c r="AI335" s="8" t="n"/>
      <c r="AJ335" s="8" t="n"/>
      <c r="AK335" s="8" t="n"/>
      <c r="AL335" s="8" t="n"/>
      <c r="AM335" s="8" t="n"/>
      <c r="AN335" s="8" t="n"/>
      <c r="AO335" s="8" t="n"/>
      <c r="AP335" s="8" t="n"/>
      <c r="AQ335" s="8" t="n"/>
      <c r="AR335" s="8" t="n"/>
      <c r="AS335" s="8" t="n"/>
      <c r="AT335" s="8" t="n"/>
      <c r="AU335" s="8" t="n"/>
      <c r="AV335" s="8" t="n"/>
      <c r="AW335" s="8" t="n"/>
      <c r="AX335" s="8" t="n"/>
      <c r="AY335" s="8" t="n"/>
      <c r="AZ335" s="8" t="n"/>
    </row>
    <row r="336" customFormat="1" s="12">
      <c r="D336" s="13" t="n"/>
      <c r="E336" s="8" t="n"/>
      <c r="F336" s="8" t="n"/>
      <c r="G336" s="8" t="n"/>
      <c r="H336" s="8" t="n"/>
      <c r="I336" s="8" t="n"/>
      <c r="J336" s="8" t="n"/>
      <c r="K336" s="8" t="n"/>
      <c r="L336" s="8" t="n"/>
      <c r="M336" s="8" t="n"/>
      <c r="N336" s="8" t="n"/>
      <c r="O336" s="8" t="n"/>
      <c r="P336" s="8" t="n"/>
      <c r="Q336" s="8" t="n"/>
      <c r="R336" s="8" t="n"/>
      <c r="S336" s="8" t="n"/>
      <c r="T336" s="8" t="n"/>
      <c r="U336" s="8" t="n"/>
      <c r="V336" s="8" t="n"/>
      <c r="W336" s="8" t="n"/>
      <c r="X336" s="8" t="n"/>
      <c r="Y336" s="8" t="n"/>
      <c r="Z336" s="8" t="n"/>
      <c r="AA336" s="8" t="n"/>
      <c r="AB336" s="8" t="n"/>
      <c r="AC336" s="8" t="n"/>
      <c r="AD336" s="8" t="n"/>
      <c r="AE336" s="8" t="n"/>
      <c r="AF336" s="8" t="n"/>
      <c r="AG336" s="8" t="n"/>
      <c r="AH336" s="8" t="n"/>
      <c r="AI336" s="8" t="n"/>
      <c r="AJ336" s="8" t="n"/>
      <c r="AK336" s="8" t="n"/>
      <c r="AL336" s="8" t="n"/>
      <c r="AM336" s="8" t="n"/>
      <c r="AN336" s="8" t="n"/>
      <c r="AO336" s="8" t="n"/>
      <c r="AP336" s="8" t="n"/>
      <c r="AQ336" s="8" t="n"/>
      <c r="AR336" s="8" t="n"/>
      <c r="AS336" s="8" t="n"/>
      <c r="AT336" s="8" t="n"/>
      <c r="AU336" s="8" t="n"/>
      <c r="AV336" s="8" t="n"/>
      <c r="AW336" s="8" t="n"/>
      <c r="AX336" s="8" t="n"/>
      <c r="AY336" s="8" t="n"/>
      <c r="AZ336" s="8" t="n"/>
    </row>
    <row r="337" customFormat="1" s="12">
      <c r="D337" s="13" t="n"/>
      <c r="E337" s="8" t="n"/>
      <c r="F337" s="8" t="n"/>
      <c r="G337" s="8" t="n"/>
      <c r="H337" s="8" t="n"/>
      <c r="I337" s="8" t="n"/>
      <c r="J337" s="8" t="n"/>
      <c r="K337" s="8" t="n"/>
      <c r="L337" s="8" t="n"/>
      <c r="M337" s="8" t="n"/>
      <c r="N337" s="8" t="n"/>
      <c r="O337" s="8" t="n"/>
      <c r="P337" s="8" t="n"/>
      <c r="Q337" s="8" t="n"/>
      <c r="R337" s="8" t="n"/>
      <c r="S337" s="8" t="n"/>
      <c r="T337" s="8" t="n"/>
      <c r="U337" s="8" t="n"/>
      <c r="V337" s="8" t="n"/>
      <c r="W337" s="8" t="n"/>
      <c r="X337" s="8" t="n"/>
      <c r="Y337" s="8" t="n"/>
      <c r="Z337" s="8" t="n"/>
      <c r="AA337" s="8" t="n"/>
      <c r="AB337" s="8" t="n"/>
      <c r="AC337" s="8" t="n"/>
      <c r="AD337" s="8" t="n"/>
      <c r="AE337" s="8" t="n"/>
      <c r="AF337" s="8" t="n"/>
      <c r="AG337" s="8" t="n"/>
      <c r="AH337" s="8" t="n"/>
      <c r="AI337" s="8" t="n"/>
      <c r="AJ337" s="8" t="n"/>
      <c r="AK337" s="8" t="n"/>
      <c r="AL337" s="8" t="n"/>
      <c r="AM337" s="8" t="n"/>
      <c r="AN337" s="8" t="n"/>
      <c r="AO337" s="8" t="n"/>
      <c r="AP337" s="8" t="n"/>
      <c r="AQ337" s="8" t="n"/>
      <c r="AR337" s="8" t="n"/>
      <c r="AS337" s="8" t="n"/>
      <c r="AT337" s="8" t="n"/>
      <c r="AU337" s="8" t="n"/>
      <c r="AV337" s="8" t="n"/>
      <c r="AW337" s="8" t="n"/>
      <c r="AX337" s="8" t="n"/>
      <c r="AY337" s="8" t="n"/>
      <c r="AZ337" s="8" t="n"/>
    </row>
    <row r="338" customFormat="1" s="12">
      <c r="D338" s="13" t="n"/>
      <c r="E338" s="8" t="n"/>
      <c r="F338" s="8" t="n"/>
      <c r="G338" s="8" t="n"/>
      <c r="H338" s="8" t="n"/>
      <c r="I338" s="8" t="n"/>
      <c r="J338" s="8" t="n"/>
      <c r="K338" s="8" t="n"/>
      <c r="L338" s="8" t="n"/>
      <c r="M338" s="8" t="n"/>
      <c r="N338" s="8" t="n"/>
      <c r="O338" s="8" t="n"/>
      <c r="P338" s="8" t="n"/>
      <c r="Q338" s="8" t="n"/>
      <c r="R338" s="8" t="n"/>
      <c r="S338" s="8" t="n"/>
      <c r="T338" s="8" t="n"/>
      <c r="U338" s="8" t="n"/>
      <c r="V338" s="8" t="n"/>
      <c r="W338" s="8" t="n"/>
      <c r="X338" s="8" t="n"/>
      <c r="Y338" s="8" t="n"/>
      <c r="Z338" s="8" t="n"/>
      <c r="AA338" s="8" t="n"/>
      <c r="AB338" s="8" t="n"/>
      <c r="AC338" s="8" t="n"/>
      <c r="AD338" s="8" t="n"/>
      <c r="AE338" s="8" t="n"/>
      <c r="AF338" s="8" t="n"/>
      <c r="AG338" s="8" t="n"/>
      <c r="AH338" s="8" t="n"/>
      <c r="AI338" s="8" t="n"/>
      <c r="AJ338" s="8" t="n"/>
      <c r="AK338" s="8" t="n"/>
      <c r="AL338" s="8" t="n"/>
      <c r="AM338" s="8" t="n"/>
      <c r="AN338" s="8" t="n"/>
      <c r="AO338" s="8" t="n"/>
      <c r="AP338" s="8" t="n"/>
      <c r="AQ338" s="8" t="n"/>
      <c r="AR338" s="8" t="n"/>
      <c r="AS338" s="8" t="n"/>
      <c r="AT338" s="8" t="n"/>
      <c r="AU338" s="8" t="n"/>
      <c r="AV338" s="8" t="n"/>
      <c r="AW338" s="8" t="n"/>
      <c r="AX338" s="8" t="n"/>
      <c r="AY338" s="8" t="n"/>
      <c r="AZ338" s="8" t="n"/>
    </row>
    <row r="339" customFormat="1" s="12">
      <c r="D339" s="13" t="n"/>
      <c r="E339" s="8" t="n"/>
      <c r="F339" s="8" t="n"/>
      <c r="G339" s="8" t="n"/>
      <c r="H339" s="8" t="n"/>
      <c r="I339" s="8" t="n"/>
      <c r="J339" s="8" t="n"/>
      <c r="K339" s="8" t="n"/>
      <c r="L339" s="8" t="n"/>
      <c r="M339" s="8" t="n"/>
      <c r="N339" s="8" t="n"/>
      <c r="O339" s="8" t="n"/>
      <c r="P339" s="8" t="n"/>
      <c r="Q339" s="8" t="n"/>
      <c r="R339" s="8" t="n"/>
      <c r="S339" s="8" t="n"/>
      <c r="T339" s="8" t="n"/>
      <c r="U339" s="8" t="n"/>
      <c r="V339" s="8" t="n"/>
      <c r="W339" s="8" t="n"/>
      <c r="X339" s="8" t="n"/>
      <c r="Y339" s="8" t="n"/>
      <c r="Z339" s="8" t="n"/>
      <c r="AA339" s="8" t="n"/>
      <c r="AB339" s="8" t="n"/>
      <c r="AC339" s="8" t="n"/>
      <c r="AD339" s="8" t="n"/>
      <c r="AE339" s="8" t="n"/>
      <c r="AF339" s="8" t="n"/>
      <c r="AG339" s="8" t="n"/>
      <c r="AH339" s="8" t="n"/>
      <c r="AI339" s="8" t="n"/>
      <c r="AJ339" s="8" t="n"/>
      <c r="AK339" s="8" t="n"/>
      <c r="AL339" s="8" t="n"/>
      <c r="AM339" s="8" t="n"/>
      <c r="AN339" s="8" t="n"/>
      <c r="AO339" s="8" t="n"/>
      <c r="AP339" s="8" t="n"/>
      <c r="AQ339" s="8" t="n"/>
      <c r="AR339" s="8" t="n"/>
      <c r="AS339" s="8" t="n"/>
      <c r="AT339" s="8" t="n"/>
      <c r="AU339" s="8" t="n"/>
      <c r="AV339" s="8" t="n"/>
      <c r="AW339" s="8" t="n"/>
      <c r="AX339" s="8" t="n"/>
      <c r="AY339" s="8" t="n"/>
      <c r="AZ339" s="8" t="n"/>
    </row>
    <row r="340" customFormat="1" s="12">
      <c r="D340" s="13" t="n"/>
      <c r="E340" s="8" t="n"/>
      <c r="F340" s="8" t="n"/>
      <c r="G340" s="8" t="n"/>
      <c r="H340" s="8" t="n"/>
      <c r="I340" s="8" t="n"/>
      <c r="J340" s="8" t="n"/>
      <c r="K340" s="8" t="n"/>
      <c r="L340" s="8" t="n"/>
      <c r="M340" s="8" t="n"/>
      <c r="N340" s="8" t="n"/>
      <c r="O340" s="8" t="n"/>
      <c r="P340" s="8" t="n"/>
      <c r="Q340" s="8" t="n"/>
      <c r="R340" s="8" t="n"/>
      <c r="S340" s="8" t="n"/>
      <c r="T340" s="8" t="n"/>
      <c r="U340" s="8" t="n"/>
      <c r="V340" s="8" t="n"/>
      <c r="W340" s="8" t="n"/>
      <c r="X340" s="8" t="n"/>
      <c r="Y340" s="8" t="n"/>
      <c r="Z340" s="8" t="n"/>
      <c r="AA340" s="8" t="n"/>
      <c r="AB340" s="8" t="n"/>
      <c r="AC340" s="8" t="n"/>
      <c r="AD340" s="8" t="n"/>
      <c r="AE340" s="8" t="n"/>
      <c r="AF340" s="8" t="n"/>
      <c r="AG340" s="8" t="n"/>
      <c r="AH340" s="8" t="n"/>
      <c r="AI340" s="8" t="n"/>
      <c r="AJ340" s="8" t="n"/>
      <c r="AK340" s="8" t="n"/>
      <c r="AL340" s="8" t="n"/>
      <c r="AM340" s="8" t="n"/>
      <c r="AN340" s="8" t="n"/>
      <c r="AO340" s="8" t="n"/>
      <c r="AP340" s="8" t="n"/>
      <c r="AQ340" s="8" t="n"/>
      <c r="AR340" s="8" t="n"/>
      <c r="AS340" s="8" t="n"/>
      <c r="AT340" s="8" t="n"/>
      <c r="AU340" s="8" t="n"/>
      <c r="AV340" s="8" t="n"/>
      <c r="AW340" s="8" t="n"/>
      <c r="AX340" s="8" t="n"/>
      <c r="AY340" s="8" t="n"/>
      <c r="AZ340" s="8" t="n"/>
    </row>
    <row r="341" customFormat="1" s="12">
      <c r="D341" s="13" t="n"/>
      <c r="E341" s="8" t="n"/>
      <c r="F341" s="8" t="n"/>
      <c r="G341" s="8" t="n"/>
      <c r="H341" s="8" t="n"/>
      <c r="I341" s="8" t="n"/>
      <c r="J341" s="8" t="n"/>
      <c r="K341" s="8" t="n"/>
      <c r="L341" s="8" t="n"/>
      <c r="M341" s="8" t="n"/>
      <c r="N341" s="8" t="n"/>
      <c r="O341" s="8" t="n"/>
      <c r="P341" s="8" t="n"/>
      <c r="Q341" s="8" t="n"/>
      <c r="R341" s="8" t="n"/>
      <c r="S341" s="8" t="n"/>
      <c r="T341" s="8" t="n"/>
      <c r="U341" s="8" t="n"/>
      <c r="V341" s="8" t="n"/>
      <c r="W341" s="8" t="n"/>
      <c r="X341" s="8" t="n"/>
      <c r="Y341" s="8" t="n"/>
      <c r="Z341" s="8" t="n"/>
      <c r="AA341" s="8" t="n"/>
      <c r="AB341" s="8" t="n"/>
      <c r="AC341" s="8" t="n"/>
      <c r="AD341" s="8" t="n"/>
      <c r="AE341" s="8" t="n"/>
      <c r="AF341" s="8" t="n"/>
      <c r="AG341" s="8" t="n"/>
      <c r="AH341" s="8" t="n"/>
      <c r="AI341" s="8" t="n"/>
      <c r="AJ341" s="8" t="n"/>
      <c r="AK341" s="8" t="n"/>
      <c r="AL341" s="8" t="n"/>
      <c r="AM341" s="8" t="n"/>
      <c r="AN341" s="8" t="n"/>
      <c r="AO341" s="8" t="n"/>
      <c r="AP341" s="8" t="n"/>
      <c r="AQ341" s="8" t="n"/>
      <c r="AR341" s="8" t="n"/>
      <c r="AS341" s="8" t="n"/>
      <c r="AT341" s="8" t="n"/>
      <c r="AU341" s="8" t="n"/>
      <c r="AV341" s="8" t="n"/>
      <c r="AW341" s="8" t="n"/>
      <c r="AX341" s="8" t="n"/>
      <c r="AY341" s="8" t="n"/>
      <c r="AZ341" s="8" t="n"/>
    </row>
    <row r="342" customFormat="1" s="12">
      <c r="D342" s="13" t="n"/>
      <c r="E342" s="8" t="n"/>
      <c r="F342" s="8" t="n"/>
      <c r="G342" s="8" t="n"/>
      <c r="H342" s="8" t="n"/>
      <c r="I342" s="8" t="n"/>
      <c r="J342" s="8" t="n"/>
      <c r="K342" s="8" t="n"/>
      <c r="L342" s="8" t="n"/>
      <c r="M342" s="8" t="n"/>
      <c r="N342" s="8" t="n"/>
      <c r="O342" s="8" t="n"/>
      <c r="P342" s="8" t="n"/>
      <c r="Q342" s="8" t="n"/>
      <c r="R342" s="8" t="n"/>
      <c r="S342" s="8" t="n"/>
      <c r="T342" s="8" t="n"/>
      <c r="U342" s="8" t="n"/>
      <c r="V342" s="8" t="n"/>
      <c r="W342" s="8" t="n"/>
      <c r="X342" s="8" t="n"/>
      <c r="Y342" s="8" t="n"/>
      <c r="Z342" s="8" t="n"/>
      <c r="AA342" s="8" t="n"/>
      <c r="AB342" s="8" t="n"/>
      <c r="AC342" s="8" t="n"/>
      <c r="AD342" s="8" t="n"/>
      <c r="AE342" s="8" t="n"/>
      <c r="AF342" s="8" t="n"/>
      <c r="AG342" s="8" t="n"/>
      <c r="AH342" s="8" t="n"/>
      <c r="AI342" s="8" t="n"/>
      <c r="AJ342" s="8" t="n"/>
      <c r="AK342" s="8" t="n"/>
      <c r="AL342" s="8" t="n"/>
      <c r="AM342" s="8" t="n"/>
      <c r="AN342" s="8" t="n"/>
      <c r="AO342" s="8" t="n"/>
      <c r="AP342" s="8" t="n"/>
      <c r="AQ342" s="8" t="n"/>
      <c r="AR342" s="8" t="n"/>
      <c r="AS342" s="8" t="n"/>
      <c r="AT342" s="8" t="n"/>
      <c r="AU342" s="8" t="n"/>
      <c r="AV342" s="8" t="n"/>
      <c r="AW342" s="8" t="n"/>
      <c r="AX342" s="8" t="n"/>
      <c r="AY342" s="8" t="n"/>
      <c r="AZ342" s="8" t="n"/>
    </row>
    <row r="343" customFormat="1" s="12">
      <c r="D343" s="13" t="n"/>
      <c r="E343" s="8" t="n"/>
      <c r="F343" s="8" t="n"/>
      <c r="G343" s="8" t="n"/>
      <c r="H343" s="8" t="n"/>
      <c r="I343" s="8" t="n"/>
      <c r="J343" s="8" t="n"/>
      <c r="K343" s="8" t="n"/>
      <c r="L343" s="8" t="n"/>
      <c r="M343" s="8" t="n"/>
      <c r="N343" s="8" t="n"/>
      <c r="O343" s="8" t="n"/>
      <c r="P343" s="8" t="n"/>
      <c r="Q343" s="8" t="n"/>
      <c r="R343" s="8" t="n"/>
      <c r="S343" s="8" t="n"/>
      <c r="T343" s="8" t="n"/>
      <c r="U343" s="8" t="n"/>
      <c r="V343" s="8" t="n"/>
      <c r="W343" s="8" t="n"/>
      <c r="X343" s="8" t="n"/>
      <c r="Y343" s="8" t="n"/>
      <c r="Z343" s="8" t="n"/>
      <c r="AA343" s="8" t="n"/>
      <c r="AB343" s="8" t="n"/>
      <c r="AC343" s="8" t="n"/>
      <c r="AD343" s="8" t="n"/>
      <c r="AE343" s="8" t="n"/>
      <c r="AF343" s="8" t="n"/>
      <c r="AG343" s="8" t="n"/>
      <c r="AH343" s="8" t="n"/>
      <c r="AI343" s="8" t="n"/>
      <c r="AJ343" s="8" t="n"/>
      <c r="AK343" s="8" t="n"/>
      <c r="AL343" s="8" t="n"/>
      <c r="AM343" s="8" t="n"/>
      <c r="AN343" s="8" t="n"/>
      <c r="AO343" s="8" t="n"/>
      <c r="AP343" s="8" t="n"/>
      <c r="AQ343" s="8" t="n"/>
      <c r="AR343" s="8" t="n"/>
      <c r="AS343" s="8" t="n"/>
      <c r="AT343" s="8" t="n"/>
      <c r="AU343" s="8" t="n"/>
      <c r="AV343" s="8" t="n"/>
      <c r="AW343" s="8" t="n"/>
      <c r="AX343" s="8" t="n"/>
      <c r="AY343" s="8" t="n"/>
      <c r="AZ343" s="8" t="n"/>
    </row>
    <row r="344" customFormat="1" s="12">
      <c r="D344" s="13" t="n"/>
      <c r="E344" s="8" t="n"/>
      <c r="F344" s="8" t="n"/>
      <c r="G344" s="8" t="n"/>
      <c r="H344" s="8" t="n"/>
      <c r="I344" s="8" t="n"/>
      <c r="J344" s="8" t="n"/>
      <c r="K344" s="8" t="n"/>
      <c r="L344" s="8" t="n"/>
      <c r="M344" s="8" t="n"/>
      <c r="N344" s="8" t="n"/>
      <c r="O344" s="8" t="n"/>
      <c r="P344" s="8" t="n"/>
      <c r="Q344" s="8" t="n"/>
      <c r="R344" s="8" t="n"/>
      <c r="S344" s="8" t="n"/>
      <c r="T344" s="8" t="n"/>
      <c r="U344" s="8" t="n"/>
      <c r="V344" s="8" t="n"/>
      <c r="W344" s="8" t="n"/>
      <c r="X344" s="8" t="n"/>
      <c r="Y344" s="8" t="n"/>
      <c r="Z344" s="8" t="n"/>
      <c r="AA344" s="8" t="n"/>
      <c r="AB344" s="8" t="n"/>
      <c r="AC344" s="8" t="n"/>
      <c r="AD344" s="8" t="n"/>
      <c r="AE344" s="8" t="n"/>
      <c r="AF344" s="8" t="n"/>
      <c r="AG344" s="8" t="n"/>
      <c r="AH344" s="8" t="n"/>
      <c r="AI344" s="8" t="n"/>
      <c r="AJ344" s="8" t="n"/>
      <c r="AK344" s="8" t="n"/>
      <c r="AL344" s="8" t="n"/>
      <c r="AM344" s="8" t="n"/>
      <c r="AN344" s="8" t="n"/>
      <c r="AO344" s="8" t="n"/>
      <c r="AP344" s="8" t="n"/>
      <c r="AQ344" s="8" t="n"/>
      <c r="AR344" s="8" t="n"/>
      <c r="AS344" s="8" t="n"/>
      <c r="AT344" s="8" t="n"/>
      <c r="AU344" s="8" t="n"/>
      <c r="AV344" s="8" t="n"/>
      <c r="AW344" s="8" t="n"/>
      <c r="AX344" s="8" t="n"/>
      <c r="AY344" s="8" t="n"/>
      <c r="AZ344" s="8" t="n"/>
    </row>
    <row r="345" customFormat="1" s="12">
      <c r="D345" s="13" t="n"/>
      <c r="E345" s="8" t="n"/>
      <c r="F345" s="8" t="n"/>
      <c r="G345" s="8" t="n"/>
      <c r="H345" s="8" t="n"/>
      <c r="I345" s="8" t="n"/>
      <c r="J345" s="8" t="n"/>
      <c r="K345" s="8" t="n"/>
      <c r="L345" s="8" t="n"/>
      <c r="M345" s="8" t="n"/>
      <c r="N345" s="8" t="n"/>
      <c r="O345" s="8" t="n"/>
      <c r="P345" s="8" t="n"/>
      <c r="Q345" s="8" t="n"/>
      <c r="R345" s="8" t="n"/>
      <c r="S345" s="8" t="n"/>
      <c r="T345" s="8" t="n"/>
      <c r="U345" s="8" t="n"/>
      <c r="V345" s="8" t="n"/>
      <c r="W345" s="8" t="n"/>
      <c r="X345" s="8" t="n"/>
      <c r="Y345" s="8" t="n"/>
      <c r="Z345" s="8" t="n"/>
      <c r="AA345" s="8" t="n"/>
      <c r="AB345" s="8" t="n"/>
      <c r="AC345" s="8" t="n"/>
      <c r="AD345" s="8" t="n"/>
      <c r="AE345" s="8" t="n"/>
      <c r="AF345" s="8" t="n"/>
      <c r="AG345" s="8" t="n"/>
      <c r="AH345" s="8" t="n"/>
      <c r="AI345" s="8" t="n"/>
      <c r="AJ345" s="8" t="n"/>
      <c r="AK345" s="8" t="n"/>
      <c r="AL345" s="8" t="n"/>
      <c r="AM345" s="8" t="n"/>
      <c r="AN345" s="8" t="n"/>
      <c r="AO345" s="8" t="n"/>
      <c r="AP345" s="8" t="n"/>
      <c r="AQ345" s="8" t="n"/>
      <c r="AR345" s="8" t="n"/>
      <c r="AS345" s="8" t="n"/>
      <c r="AT345" s="8" t="n"/>
      <c r="AU345" s="8" t="n"/>
      <c r="AV345" s="8" t="n"/>
      <c r="AW345" s="8" t="n"/>
      <c r="AX345" s="8" t="n"/>
      <c r="AY345" s="8" t="n"/>
      <c r="AZ345" s="8" t="n"/>
    </row>
    <row r="346" customFormat="1" s="12">
      <c r="D346" s="13" t="n"/>
      <c r="E346" s="8" t="n"/>
      <c r="F346" s="8" t="n"/>
      <c r="G346" s="8" t="n"/>
      <c r="H346" s="8" t="n"/>
      <c r="I346" s="8" t="n"/>
      <c r="J346" s="8" t="n"/>
      <c r="K346" s="8" t="n"/>
      <c r="L346" s="8" t="n"/>
      <c r="M346" s="8" t="n"/>
      <c r="N346" s="8" t="n"/>
      <c r="O346" s="8" t="n"/>
      <c r="P346" s="8" t="n"/>
      <c r="Q346" s="8" t="n"/>
      <c r="R346" s="8" t="n"/>
      <c r="S346" s="8" t="n"/>
      <c r="T346" s="8" t="n"/>
      <c r="U346" s="8" t="n"/>
      <c r="V346" s="8" t="n"/>
      <c r="W346" s="8" t="n"/>
      <c r="X346" s="8" t="n"/>
      <c r="Y346" s="8" t="n"/>
      <c r="Z346" s="8" t="n"/>
      <c r="AA346" s="8" t="n"/>
      <c r="AB346" s="8" t="n"/>
      <c r="AC346" s="8" t="n"/>
      <c r="AD346" s="8" t="n"/>
      <c r="AE346" s="8" t="n"/>
      <c r="AF346" s="8" t="n"/>
      <c r="AG346" s="8" t="n"/>
      <c r="AH346" s="8" t="n"/>
      <c r="AI346" s="8" t="n"/>
      <c r="AJ346" s="8" t="n"/>
      <c r="AK346" s="8" t="n"/>
      <c r="AL346" s="8" t="n"/>
      <c r="AM346" s="8" t="n"/>
      <c r="AN346" s="8" t="n"/>
      <c r="AO346" s="8" t="n"/>
      <c r="AP346" s="8" t="n"/>
      <c r="AQ346" s="8" t="n"/>
      <c r="AR346" s="8" t="n"/>
      <c r="AS346" s="8" t="n"/>
      <c r="AT346" s="8" t="n"/>
      <c r="AU346" s="8" t="n"/>
      <c r="AV346" s="8" t="n"/>
      <c r="AW346" s="8" t="n"/>
      <c r="AX346" s="8" t="n"/>
      <c r="AY346" s="8" t="n"/>
      <c r="AZ346" s="8" t="n"/>
    </row>
    <row r="347" customFormat="1" s="12">
      <c r="D347" s="13" t="n"/>
      <c r="E347" s="8" t="n"/>
      <c r="F347" s="8" t="n"/>
      <c r="G347" s="8" t="n"/>
      <c r="H347" s="8" t="n"/>
      <c r="I347" s="8" t="n"/>
      <c r="J347" s="8" t="n"/>
      <c r="K347" s="8" t="n"/>
      <c r="L347" s="8" t="n"/>
      <c r="M347" s="8" t="n"/>
      <c r="N347" s="8" t="n"/>
      <c r="O347" s="8" t="n"/>
      <c r="P347" s="8" t="n"/>
      <c r="Q347" s="8" t="n"/>
      <c r="R347" s="8" t="n"/>
      <c r="S347" s="8" t="n"/>
      <c r="T347" s="8" t="n"/>
      <c r="U347" s="8" t="n"/>
      <c r="V347" s="8" t="n"/>
      <c r="W347" s="8" t="n"/>
      <c r="X347" s="8" t="n"/>
      <c r="Y347" s="8" t="n"/>
      <c r="Z347" s="8" t="n"/>
      <c r="AA347" s="8" t="n"/>
      <c r="AB347" s="8" t="n"/>
      <c r="AC347" s="8" t="n"/>
      <c r="AD347" s="8" t="n"/>
      <c r="AE347" s="8" t="n"/>
      <c r="AF347" s="8" t="n"/>
      <c r="AG347" s="8" t="n"/>
      <c r="AH347" s="8" t="n"/>
      <c r="AI347" s="8" t="n"/>
      <c r="AJ347" s="8" t="n"/>
      <c r="AK347" s="8" t="n"/>
      <c r="AL347" s="8" t="n"/>
      <c r="AM347" s="8" t="n"/>
      <c r="AN347" s="8" t="n"/>
      <c r="AO347" s="8" t="n"/>
      <c r="AP347" s="8" t="n"/>
      <c r="AQ347" s="8" t="n"/>
      <c r="AR347" s="8" t="n"/>
      <c r="AS347" s="8" t="n"/>
      <c r="AT347" s="8" t="n"/>
      <c r="AU347" s="8" t="n"/>
      <c r="AV347" s="8" t="n"/>
      <c r="AW347" s="8" t="n"/>
      <c r="AX347" s="8" t="n"/>
      <c r="AY347" s="8" t="n"/>
      <c r="AZ347" s="8" t="n"/>
    </row>
    <row r="348" customFormat="1" s="12">
      <c r="D348" s="13" t="n"/>
      <c r="E348" s="8" t="n"/>
      <c r="F348" s="8" t="n"/>
      <c r="G348" s="8" t="n"/>
      <c r="H348" s="8" t="n"/>
      <c r="I348" s="8" t="n"/>
      <c r="J348" s="8" t="n"/>
      <c r="K348" s="8" t="n"/>
      <c r="L348" s="8" t="n"/>
      <c r="M348" s="8" t="n"/>
      <c r="N348" s="8" t="n"/>
      <c r="O348" s="8" t="n"/>
      <c r="P348" s="8" t="n"/>
      <c r="Q348" s="8" t="n"/>
      <c r="R348" s="8" t="n"/>
      <c r="S348" s="8" t="n"/>
      <c r="T348" s="8" t="n"/>
      <c r="U348" s="8" t="n"/>
      <c r="V348" s="8" t="n"/>
      <c r="W348" s="8" t="n"/>
      <c r="X348" s="8" t="n"/>
      <c r="Y348" s="8" t="n"/>
      <c r="Z348" s="8" t="n"/>
      <c r="AA348" s="8" t="n"/>
      <c r="AB348" s="8" t="n"/>
      <c r="AC348" s="8" t="n"/>
      <c r="AD348" s="8" t="n"/>
      <c r="AE348" s="8" t="n"/>
      <c r="AF348" s="8" t="n"/>
      <c r="AG348" s="8" t="n"/>
      <c r="AH348" s="8" t="n"/>
      <c r="AI348" s="8" t="n"/>
      <c r="AJ348" s="8" t="n"/>
      <c r="AK348" s="8" t="n"/>
      <c r="AL348" s="8" t="n"/>
      <c r="AM348" s="8" t="n"/>
      <c r="AN348" s="8" t="n"/>
      <c r="AO348" s="8" t="n"/>
      <c r="AP348" s="8" t="n"/>
      <c r="AQ348" s="8" t="n"/>
      <c r="AR348" s="8" t="n"/>
      <c r="AS348" s="8" t="n"/>
      <c r="AT348" s="8" t="n"/>
      <c r="AU348" s="8" t="n"/>
      <c r="AV348" s="8" t="n"/>
      <c r="AW348" s="8" t="n"/>
      <c r="AX348" s="8" t="n"/>
      <c r="AY348" s="8" t="n"/>
      <c r="AZ348" s="8" t="n"/>
    </row>
    <row r="349" customFormat="1" s="12">
      <c r="D349" s="13" t="n"/>
      <c r="E349" s="8" t="n"/>
      <c r="F349" s="8" t="n"/>
      <c r="G349" s="8" t="n"/>
      <c r="H349" s="8" t="n"/>
      <c r="I349" s="8" t="n"/>
      <c r="J349" s="8" t="n"/>
      <c r="K349" s="8" t="n"/>
      <c r="L349" s="8" t="n"/>
      <c r="M349" s="8" t="n"/>
      <c r="N349" s="8" t="n"/>
      <c r="O349" s="8" t="n"/>
      <c r="P349" s="8" t="n"/>
      <c r="Q349" s="8" t="n"/>
      <c r="R349" s="8" t="n"/>
      <c r="S349" s="8" t="n"/>
      <c r="T349" s="8" t="n"/>
      <c r="U349" s="8" t="n"/>
      <c r="V349" s="8" t="n"/>
      <c r="W349" s="8" t="n"/>
      <c r="X349" s="8" t="n"/>
      <c r="Y349" s="8" t="n"/>
      <c r="Z349" s="8" t="n"/>
      <c r="AA349" s="8" t="n"/>
      <c r="AB349" s="8" t="n"/>
      <c r="AC349" s="8" t="n"/>
      <c r="AD349" s="8" t="n"/>
      <c r="AE349" s="8" t="n"/>
      <c r="AF349" s="8" t="n"/>
      <c r="AG349" s="8" t="n"/>
      <c r="AH349" s="8" t="n"/>
      <c r="AI349" s="8" t="n"/>
      <c r="AJ349" s="8" t="n"/>
      <c r="AK349" s="8" t="n"/>
      <c r="AL349" s="8" t="n"/>
      <c r="AM349" s="8" t="n"/>
      <c r="AN349" s="8" t="n"/>
      <c r="AO349" s="8" t="n"/>
      <c r="AP349" s="8" t="n"/>
      <c r="AQ349" s="8" t="n"/>
      <c r="AR349" s="8" t="n"/>
      <c r="AS349" s="8" t="n"/>
      <c r="AT349" s="8" t="n"/>
      <c r="AU349" s="8" t="n"/>
      <c r="AV349" s="8" t="n"/>
      <c r="AW349" s="8" t="n"/>
      <c r="AX349" s="8" t="n"/>
      <c r="AY349" s="8" t="n"/>
      <c r="AZ349" s="8" t="n"/>
    </row>
    <row r="350" customFormat="1" s="12">
      <c r="D350" s="13" t="n"/>
      <c r="E350" s="8" t="n"/>
      <c r="F350" s="8" t="n"/>
      <c r="G350" s="8" t="n"/>
      <c r="H350" s="8" t="n"/>
      <c r="I350" s="8" t="n"/>
      <c r="J350" s="8" t="n"/>
      <c r="K350" s="8" t="n"/>
      <c r="L350" s="8" t="n"/>
      <c r="M350" s="8" t="n"/>
      <c r="N350" s="8" t="n"/>
      <c r="O350" s="8" t="n"/>
      <c r="P350" s="8" t="n"/>
      <c r="Q350" s="8" t="n"/>
      <c r="R350" s="8" t="n"/>
      <c r="S350" s="8" t="n"/>
      <c r="T350" s="8" t="n"/>
      <c r="U350" s="8" t="n"/>
      <c r="V350" s="8" t="n"/>
      <c r="W350" s="8" t="n"/>
      <c r="X350" s="8" t="n"/>
      <c r="Y350" s="8" t="n"/>
      <c r="Z350" s="8" t="n"/>
      <c r="AA350" s="8" t="n"/>
      <c r="AB350" s="8" t="n"/>
      <c r="AC350" s="8" t="n"/>
      <c r="AD350" s="8" t="n"/>
      <c r="AE350" s="8" t="n"/>
      <c r="AF350" s="8" t="n"/>
      <c r="AG350" s="8" t="n"/>
      <c r="AH350" s="8" t="n"/>
      <c r="AI350" s="8" t="n"/>
      <c r="AJ350" s="8" t="n"/>
      <c r="AK350" s="8" t="n"/>
      <c r="AL350" s="8" t="n"/>
      <c r="AM350" s="8" t="n"/>
      <c r="AN350" s="8" t="n"/>
      <c r="AO350" s="8" t="n"/>
      <c r="AP350" s="8" t="n"/>
      <c r="AQ350" s="8" t="n"/>
      <c r="AR350" s="8" t="n"/>
      <c r="AS350" s="8" t="n"/>
      <c r="AT350" s="8" t="n"/>
      <c r="AU350" s="8" t="n"/>
      <c r="AV350" s="8" t="n"/>
      <c r="AW350" s="8" t="n"/>
      <c r="AX350" s="8" t="n"/>
      <c r="AY350" s="8" t="n"/>
      <c r="AZ350" s="8" t="n"/>
    </row>
    <row r="351" customFormat="1" s="12">
      <c r="D351" s="13" t="n"/>
      <c r="E351" s="8" t="n"/>
      <c r="F351" s="8" t="n"/>
      <c r="G351" s="8" t="n"/>
      <c r="H351" s="8" t="n"/>
      <c r="I351" s="8" t="n"/>
      <c r="J351" s="8" t="n"/>
      <c r="K351" s="8" t="n"/>
      <c r="L351" s="8" t="n"/>
      <c r="M351" s="8" t="n"/>
      <c r="N351" s="8" t="n"/>
      <c r="O351" s="8" t="n"/>
      <c r="P351" s="8" t="n"/>
      <c r="Q351" s="8" t="n"/>
      <c r="R351" s="8" t="n"/>
      <c r="S351" s="8" t="n"/>
      <c r="T351" s="8" t="n"/>
      <c r="U351" s="8" t="n"/>
      <c r="V351" s="8" t="n"/>
      <c r="W351" s="8" t="n"/>
      <c r="X351" s="8" t="n"/>
      <c r="Y351" s="8" t="n"/>
      <c r="Z351" s="8" t="n"/>
      <c r="AA351" s="8" t="n"/>
      <c r="AB351" s="8" t="n"/>
      <c r="AC351" s="8" t="n"/>
      <c r="AD351" s="8" t="n"/>
      <c r="AE351" s="8" t="n"/>
      <c r="AF351" s="8" t="n"/>
      <c r="AG351" s="8" t="n"/>
      <c r="AH351" s="8" t="n"/>
      <c r="AI351" s="8" t="n"/>
      <c r="AJ351" s="8" t="n"/>
      <c r="AK351" s="8" t="n"/>
      <c r="AL351" s="8" t="n"/>
      <c r="AM351" s="8" t="n"/>
      <c r="AN351" s="8" t="n"/>
      <c r="AO351" s="8" t="n"/>
      <c r="AP351" s="8" t="n"/>
      <c r="AQ351" s="8" t="n"/>
      <c r="AR351" s="8" t="n"/>
      <c r="AS351" s="8" t="n"/>
      <c r="AT351" s="8" t="n"/>
      <c r="AU351" s="8" t="n"/>
      <c r="AV351" s="8" t="n"/>
      <c r="AW351" s="8" t="n"/>
      <c r="AX351" s="8" t="n"/>
      <c r="AY351" s="8" t="n"/>
      <c r="AZ351" s="8" t="n"/>
    </row>
    <row r="352" customFormat="1" s="12">
      <c r="D352" s="13" t="n"/>
      <c r="E352" s="8" t="n"/>
      <c r="F352" s="8" t="n"/>
      <c r="G352" s="8" t="n"/>
      <c r="H352" s="8" t="n"/>
      <c r="I352" s="8" t="n"/>
      <c r="J352" s="8" t="n"/>
      <c r="K352" s="8" t="n"/>
      <c r="L352" s="8" t="n"/>
      <c r="M352" s="8" t="n"/>
      <c r="N352" s="8" t="n"/>
      <c r="O352" s="8" t="n"/>
      <c r="P352" s="8" t="n"/>
      <c r="Q352" s="8" t="n"/>
      <c r="R352" s="8" t="n"/>
      <c r="S352" s="8" t="n"/>
      <c r="T352" s="8" t="n"/>
      <c r="U352" s="8" t="n"/>
      <c r="V352" s="8" t="n"/>
      <c r="W352" s="8" t="n"/>
      <c r="X352" s="8" t="n"/>
      <c r="Y352" s="8" t="n"/>
      <c r="Z352" s="8" t="n"/>
      <c r="AA352" s="8" t="n"/>
      <c r="AB352" s="8" t="n"/>
      <c r="AC352" s="8" t="n"/>
      <c r="AD352" s="8" t="n"/>
      <c r="AE352" s="8" t="n"/>
      <c r="AF352" s="8" t="n"/>
      <c r="AG352" s="8" t="n"/>
      <c r="AH352" s="8" t="n"/>
      <c r="AI352" s="8" t="n"/>
      <c r="AJ352" s="8" t="n"/>
      <c r="AK352" s="8" t="n"/>
      <c r="AL352" s="8" t="n"/>
      <c r="AM352" s="8" t="n"/>
      <c r="AN352" s="8" t="n"/>
      <c r="AO352" s="8" t="n"/>
      <c r="AP352" s="8" t="n"/>
      <c r="AQ352" s="8" t="n"/>
      <c r="AR352" s="8" t="n"/>
      <c r="AS352" s="8" t="n"/>
      <c r="AT352" s="8" t="n"/>
      <c r="AU352" s="8" t="n"/>
      <c r="AV352" s="8" t="n"/>
      <c r="AW352" s="8" t="n"/>
      <c r="AX352" s="8" t="n"/>
      <c r="AY352" s="8" t="n"/>
      <c r="AZ352" s="8" t="n"/>
    </row>
    <row r="353" customFormat="1" s="12">
      <c r="D353" s="13" t="n"/>
      <c r="E353" s="8" t="n"/>
      <c r="F353" s="8" t="n"/>
      <c r="G353" s="8" t="n"/>
      <c r="H353" s="8" t="n"/>
      <c r="I353" s="8" t="n"/>
      <c r="J353" s="8" t="n"/>
      <c r="K353" s="8" t="n"/>
      <c r="L353" s="8" t="n"/>
      <c r="M353" s="8" t="n"/>
      <c r="N353" s="8" t="n"/>
      <c r="O353" s="8" t="n"/>
      <c r="P353" s="8" t="n"/>
      <c r="Q353" s="8" t="n"/>
      <c r="R353" s="8" t="n"/>
      <c r="S353" s="8" t="n"/>
      <c r="T353" s="8" t="n"/>
      <c r="U353" s="8" t="n"/>
      <c r="V353" s="8" t="n"/>
      <c r="W353" s="8" t="n"/>
      <c r="X353" s="8" t="n"/>
      <c r="Y353" s="8" t="n"/>
      <c r="Z353" s="8" t="n"/>
      <c r="AA353" s="8" t="n"/>
      <c r="AB353" s="8" t="n"/>
      <c r="AC353" s="8" t="n"/>
      <c r="AD353" s="8" t="n"/>
      <c r="AE353" s="8" t="n"/>
      <c r="AF353" s="8" t="n"/>
      <c r="AG353" s="8" t="n"/>
      <c r="AH353" s="8" t="n"/>
      <c r="AI353" s="8" t="n"/>
      <c r="AJ353" s="8" t="n"/>
      <c r="AK353" s="8" t="n"/>
      <c r="AL353" s="8" t="n"/>
      <c r="AM353" s="8" t="n"/>
      <c r="AN353" s="8" t="n"/>
      <c r="AO353" s="8" t="n"/>
      <c r="AP353" s="8" t="n"/>
      <c r="AQ353" s="8" t="n"/>
      <c r="AR353" s="8" t="n"/>
      <c r="AS353" s="8" t="n"/>
      <c r="AT353" s="8" t="n"/>
      <c r="AU353" s="8" t="n"/>
      <c r="AV353" s="8" t="n"/>
      <c r="AW353" s="8" t="n"/>
      <c r="AX353" s="8" t="n"/>
      <c r="AY353" s="8" t="n"/>
      <c r="AZ353" s="8" t="n"/>
    </row>
    <row r="354" customFormat="1" s="12">
      <c r="D354" s="13" t="n"/>
      <c r="E354" s="8" t="n"/>
      <c r="F354" s="8" t="n"/>
      <c r="G354" s="8" t="n"/>
      <c r="H354" s="8" t="n"/>
      <c r="I354" s="8" t="n"/>
      <c r="J354" s="8" t="n"/>
      <c r="K354" s="8" t="n"/>
      <c r="L354" s="8" t="n"/>
      <c r="M354" s="8" t="n"/>
      <c r="N354" s="8" t="n"/>
      <c r="O354" s="8" t="n"/>
      <c r="P354" s="8" t="n"/>
      <c r="Q354" s="8" t="n"/>
      <c r="R354" s="8" t="n"/>
      <c r="S354" s="8" t="n"/>
      <c r="T354" s="8" t="n"/>
      <c r="U354" s="8" t="n"/>
      <c r="V354" s="8" t="n"/>
      <c r="W354" s="8" t="n"/>
      <c r="X354" s="8" t="n"/>
      <c r="Y354" s="8" t="n"/>
      <c r="Z354" s="8" t="n"/>
      <c r="AA354" s="8" t="n"/>
      <c r="AB354" s="8" t="n"/>
      <c r="AC354" s="8" t="n"/>
      <c r="AD354" s="8" t="n"/>
      <c r="AE354" s="8" t="n"/>
      <c r="AF354" s="8" t="n"/>
      <c r="AG354" s="8" t="n"/>
      <c r="AH354" s="8" t="n"/>
      <c r="AI354" s="8" t="n"/>
      <c r="AJ354" s="8" t="n"/>
      <c r="AK354" s="8" t="n"/>
      <c r="AL354" s="8" t="n"/>
      <c r="AM354" s="8" t="n"/>
      <c r="AN354" s="8" t="n"/>
      <c r="AO354" s="8" t="n"/>
      <c r="AP354" s="8" t="n"/>
      <c r="AQ354" s="8" t="n"/>
      <c r="AR354" s="8" t="n"/>
      <c r="AS354" s="8" t="n"/>
      <c r="AT354" s="8" t="n"/>
      <c r="AU354" s="8" t="n"/>
      <c r="AV354" s="8" t="n"/>
      <c r="AW354" s="8" t="n"/>
      <c r="AX354" s="8" t="n"/>
      <c r="AY354" s="8" t="n"/>
      <c r="AZ354" s="8" t="n"/>
    </row>
    <row r="355" customFormat="1" s="12">
      <c r="D355" s="13" t="n"/>
      <c r="E355" s="8" t="n"/>
      <c r="F355" s="8" t="n"/>
      <c r="G355" s="8" t="n"/>
      <c r="H355" s="8" t="n"/>
      <c r="I355" s="8" t="n"/>
      <c r="J355" s="8" t="n"/>
      <c r="K355" s="8" t="n"/>
      <c r="L355" s="8" t="n"/>
      <c r="M355" s="8" t="n"/>
      <c r="N355" s="8" t="n"/>
      <c r="O355" s="8" t="n"/>
      <c r="P355" s="8" t="n"/>
      <c r="Q355" s="8" t="n"/>
      <c r="R355" s="8" t="n"/>
      <c r="S355" s="8" t="n"/>
      <c r="T355" s="8" t="n"/>
      <c r="U355" s="8" t="n"/>
      <c r="V355" s="8" t="n"/>
      <c r="W355" s="8" t="n"/>
      <c r="X355" s="8" t="n"/>
      <c r="Y355" s="8" t="n"/>
      <c r="Z355" s="8" t="n"/>
      <c r="AA355" s="8" t="n"/>
      <c r="AB355" s="8" t="n"/>
      <c r="AC355" s="8" t="n"/>
      <c r="AD355" s="8" t="n"/>
      <c r="AE355" s="8" t="n"/>
      <c r="AF355" s="8" t="n"/>
      <c r="AG355" s="8" t="n"/>
      <c r="AH355" s="8" t="n"/>
      <c r="AI355" s="8" t="n"/>
      <c r="AJ355" s="8" t="n"/>
      <c r="AK355" s="8" t="n"/>
      <c r="AL355" s="8" t="n"/>
      <c r="AM355" s="8" t="n"/>
      <c r="AN355" s="8" t="n"/>
      <c r="AO355" s="8" t="n"/>
      <c r="AP355" s="8" t="n"/>
      <c r="AQ355" s="8" t="n"/>
      <c r="AR355" s="8" t="n"/>
      <c r="AS355" s="8" t="n"/>
      <c r="AT355" s="8" t="n"/>
      <c r="AU355" s="8" t="n"/>
      <c r="AV355" s="8" t="n"/>
      <c r="AW355" s="8" t="n"/>
      <c r="AX355" s="8" t="n"/>
      <c r="AY355" s="8" t="n"/>
      <c r="AZ355" s="8" t="n"/>
    </row>
    <row r="356" customFormat="1" s="12">
      <c r="D356" s="13" t="n"/>
      <c r="E356" s="8" t="n"/>
      <c r="F356" s="8" t="n"/>
      <c r="G356" s="8" t="n"/>
      <c r="H356" s="8" t="n"/>
      <c r="I356" s="8" t="n"/>
      <c r="J356" s="8" t="n"/>
      <c r="K356" s="8" t="n"/>
      <c r="L356" s="8" t="n"/>
      <c r="M356" s="8" t="n"/>
      <c r="N356" s="8" t="n"/>
      <c r="O356" s="8" t="n"/>
      <c r="P356" s="8" t="n"/>
      <c r="Q356" s="8" t="n"/>
      <c r="R356" s="8" t="n"/>
      <c r="S356" s="8" t="n"/>
      <c r="T356" s="8" t="n"/>
      <c r="U356" s="8" t="n"/>
      <c r="V356" s="8" t="n"/>
      <c r="W356" s="8" t="n"/>
      <c r="X356" s="8" t="n"/>
      <c r="Y356" s="8" t="n"/>
      <c r="Z356" s="8" t="n"/>
      <c r="AA356" s="8" t="n"/>
      <c r="AB356" s="8" t="n"/>
      <c r="AC356" s="8" t="n"/>
      <c r="AD356" s="8" t="n"/>
      <c r="AE356" s="8" t="n"/>
      <c r="AF356" s="8" t="n"/>
      <c r="AG356" s="8" t="n"/>
      <c r="AH356" s="8" t="n"/>
      <c r="AI356" s="8" t="n"/>
      <c r="AJ356" s="8" t="n"/>
      <c r="AK356" s="8" t="n"/>
      <c r="AL356" s="8" t="n"/>
      <c r="AM356" s="8" t="n"/>
      <c r="AN356" s="8" t="n"/>
      <c r="AO356" s="8" t="n"/>
      <c r="AP356" s="8" t="n"/>
      <c r="AQ356" s="8" t="n"/>
      <c r="AR356" s="8" t="n"/>
      <c r="AS356" s="8" t="n"/>
      <c r="AT356" s="8" t="n"/>
      <c r="AU356" s="8" t="n"/>
      <c r="AV356" s="8" t="n"/>
      <c r="AW356" s="8" t="n"/>
      <c r="AX356" s="8" t="n"/>
      <c r="AY356" s="8" t="n"/>
      <c r="AZ356" s="8" t="n"/>
    </row>
    <row r="357" customFormat="1" s="12">
      <c r="D357" s="13" t="n"/>
      <c r="E357" s="8" t="n"/>
      <c r="F357" s="8" t="n"/>
      <c r="G357" s="8" t="n"/>
      <c r="H357" s="8" t="n"/>
      <c r="I357" s="8" t="n"/>
      <c r="J357" s="8" t="n"/>
      <c r="K357" s="8" t="n"/>
      <c r="L357" s="8" t="n"/>
      <c r="M357" s="8" t="n"/>
      <c r="N357" s="8" t="n"/>
      <c r="O357" s="8" t="n"/>
      <c r="P357" s="8" t="n"/>
      <c r="Q357" s="8" t="n"/>
      <c r="R357" s="8" t="n"/>
      <c r="S357" s="8" t="n"/>
      <c r="T357" s="8" t="n"/>
      <c r="U357" s="8" t="n"/>
      <c r="V357" s="8" t="n"/>
      <c r="W357" s="8" t="n"/>
      <c r="X357" s="8" t="n"/>
      <c r="Y357" s="8" t="n"/>
      <c r="Z357" s="8" t="n"/>
      <c r="AA357" s="8" t="n"/>
      <c r="AB357" s="8" t="n"/>
      <c r="AC357" s="8" t="n"/>
      <c r="AD357" s="8" t="n"/>
      <c r="AE357" s="8" t="n"/>
      <c r="AF357" s="8" t="n"/>
      <c r="AG357" s="8" t="n"/>
      <c r="AH357" s="8" t="n"/>
      <c r="AI357" s="8" t="n"/>
      <c r="AJ357" s="8" t="n"/>
      <c r="AK357" s="8" t="n"/>
      <c r="AL357" s="8" t="n"/>
      <c r="AM357" s="8" t="n"/>
      <c r="AN357" s="8" t="n"/>
      <c r="AO357" s="8" t="n"/>
      <c r="AP357" s="8" t="n"/>
      <c r="AQ357" s="8" t="n"/>
      <c r="AR357" s="8" t="n"/>
      <c r="AS357" s="8" t="n"/>
      <c r="AT357" s="8" t="n"/>
      <c r="AU357" s="8" t="n"/>
      <c r="AV357" s="8" t="n"/>
      <c r="AW357" s="8" t="n"/>
      <c r="AX357" s="8" t="n"/>
      <c r="AY357" s="8" t="n"/>
      <c r="AZ357" s="8" t="n"/>
    </row>
    <row r="358" customFormat="1" s="12">
      <c r="D358" s="13" t="n"/>
      <c r="E358" s="8" t="n"/>
      <c r="F358" s="8" t="n"/>
      <c r="G358" s="8" t="n"/>
      <c r="H358" s="8" t="n"/>
      <c r="I358" s="8" t="n"/>
      <c r="J358" s="8" t="n"/>
      <c r="K358" s="8" t="n"/>
      <c r="L358" s="8" t="n"/>
      <c r="M358" s="8" t="n"/>
      <c r="N358" s="8" t="n"/>
      <c r="O358" s="8" t="n"/>
      <c r="P358" s="8" t="n"/>
      <c r="Q358" s="8" t="n"/>
      <c r="R358" s="8" t="n"/>
      <c r="S358" s="8" t="n"/>
      <c r="T358" s="8" t="n"/>
      <c r="U358" s="8" t="n"/>
      <c r="V358" s="8" t="n"/>
      <c r="W358" s="8" t="n"/>
      <c r="X358" s="8" t="n"/>
      <c r="Y358" s="8" t="n"/>
      <c r="Z358" s="8" t="n"/>
      <c r="AA358" s="8" t="n"/>
      <c r="AB358" s="8" t="n"/>
      <c r="AC358" s="8" t="n"/>
      <c r="AD358" s="8" t="n"/>
      <c r="AE358" s="8" t="n"/>
      <c r="AF358" s="8" t="n"/>
      <c r="AG358" s="8" t="n"/>
      <c r="AH358" s="8" t="n"/>
      <c r="AI358" s="8" t="n"/>
      <c r="AJ358" s="8" t="n"/>
      <c r="AK358" s="8" t="n"/>
      <c r="AL358" s="8" t="n"/>
      <c r="AM358" s="8" t="n"/>
      <c r="AN358" s="8" t="n"/>
      <c r="AO358" s="8" t="n"/>
      <c r="AP358" s="8" t="n"/>
      <c r="AQ358" s="8" t="n"/>
      <c r="AR358" s="8" t="n"/>
      <c r="AS358" s="8" t="n"/>
      <c r="AT358" s="8" t="n"/>
      <c r="AU358" s="8" t="n"/>
      <c r="AV358" s="8" t="n"/>
      <c r="AW358" s="8" t="n"/>
      <c r="AX358" s="8" t="n"/>
      <c r="AY358" s="8" t="n"/>
      <c r="AZ358" s="8" t="n"/>
    </row>
    <row r="359" customFormat="1" s="12">
      <c r="D359" s="13" t="n"/>
      <c r="E359" s="8" t="n"/>
      <c r="F359" s="8" t="n"/>
      <c r="G359" s="8" t="n"/>
      <c r="H359" s="8" t="n"/>
      <c r="I359" s="8" t="n"/>
      <c r="J359" s="8" t="n"/>
      <c r="K359" s="8" t="n"/>
      <c r="L359" s="8" t="n"/>
      <c r="M359" s="8" t="n"/>
      <c r="N359" s="8" t="n"/>
      <c r="O359" s="8" t="n"/>
      <c r="P359" s="8" t="n"/>
      <c r="Q359" s="8" t="n"/>
      <c r="R359" s="8" t="n"/>
      <c r="S359" s="8" t="n"/>
      <c r="T359" s="8" t="n"/>
      <c r="U359" s="8" t="n"/>
      <c r="V359" s="8" t="n"/>
      <c r="W359" s="8" t="n"/>
      <c r="X359" s="8" t="n"/>
      <c r="Y359" s="8" t="n"/>
      <c r="Z359" s="8" t="n"/>
      <c r="AA359" s="8" t="n"/>
      <c r="AB359" s="8" t="n"/>
      <c r="AC359" s="8" t="n"/>
      <c r="AD359" s="8" t="n"/>
      <c r="AE359" s="8" t="n"/>
      <c r="AF359" s="8" t="n"/>
      <c r="AG359" s="8" t="n"/>
      <c r="AH359" s="8" t="n"/>
      <c r="AI359" s="8" t="n"/>
      <c r="AJ359" s="8" t="n"/>
      <c r="AK359" s="8" t="n"/>
      <c r="AL359" s="8" t="n"/>
      <c r="AM359" s="8" t="n"/>
      <c r="AN359" s="8" t="n"/>
      <c r="AO359" s="8" t="n"/>
      <c r="AP359" s="8" t="n"/>
      <c r="AQ359" s="8" t="n"/>
      <c r="AR359" s="8" t="n"/>
      <c r="AS359" s="8" t="n"/>
      <c r="AT359" s="8" t="n"/>
      <c r="AU359" s="8" t="n"/>
      <c r="AV359" s="8" t="n"/>
      <c r="AW359" s="8" t="n"/>
      <c r="AX359" s="8" t="n"/>
      <c r="AY359" s="8" t="n"/>
      <c r="AZ359" s="8" t="n"/>
    </row>
    <row r="360" customFormat="1" s="12">
      <c r="D360" s="13" t="n"/>
      <c r="E360" s="8" t="n"/>
      <c r="F360" s="8" t="n"/>
      <c r="G360" s="8" t="n"/>
      <c r="H360" s="8" t="n"/>
      <c r="I360" s="8" t="n"/>
      <c r="J360" s="8" t="n"/>
      <c r="K360" s="8" t="n"/>
      <c r="L360" s="8" t="n"/>
      <c r="M360" s="8" t="n"/>
      <c r="N360" s="8" t="n"/>
      <c r="O360" s="8" t="n"/>
      <c r="P360" s="8" t="n"/>
      <c r="Q360" s="8" t="n"/>
      <c r="R360" s="8" t="n"/>
      <c r="S360" s="8" t="n"/>
      <c r="T360" s="8" t="n"/>
      <c r="U360" s="8" t="n"/>
      <c r="V360" s="8" t="n"/>
      <c r="W360" s="8" t="n"/>
      <c r="X360" s="8" t="n"/>
      <c r="Y360" s="8" t="n"/>
      <c r="Z360" s="8" t="n"/>
      <c r="AA360" s="8" t="n"/>
      <c r="AB360" s="8" t="n"/>
      <c r="AC360" s="8" t="n"/>
      <c r="AD360" s="8" t="n"/>
      <c r="AE360" s="8" t="n"/>
      <c r="AF360" s="8" t="n"/>
      <c r="AG360" s="8" t="n"/>
      <c r="AH360" s="8" t="n"/>
      <c r="AI360" s="8" t="n"/>
      <c r="AJ360" s="8" t="n"/>
      <c r="AK360" s="8" t="n"/>
      <c r="AL360" s="8" t="n"/>
      <c r="AM360" s="8" t="n"/>
      <c r="AN360" s="8" t="n"/>
      <c r="AO360" s="8" t="n"/>
      <c r="AP360" s="8" t="n"/>
      <c r="AQ360" s="8" t="n"/>
      <c r="AR360" s="8" t="n"/>
      <c r="AS360" s="8" t="n"/>
      <c r="AT360" s="8" t="n"/>
      <c r="AU360" s="8" t="n"/>
      <c r="AV360" s="8" t="n"/>
      <c r="AW360" s="8" t="n"/>
      <c r="AX360" s="8" t="n"/>
      <c r="AY360" s="8" t="n"/>
      <c r="AZ360" s="8" t="n"/>
    </row>
    <row r="373" customFormat="1" s="12">
      <c r="D373" s="13" t="n"/>
      <c r="E373" s="8" t="n"/>
      <c r="F373" s="8" t="n"/>
      <c r="G373" s="8" t="n"/>
      <c r="H373" s="8" t="n"/>
      <c r="I373" s="8" t="n"/>
      <c r="J373" s="8" t="n"/>
      <c r="K373" s="8" t="n"/>
      <c r="L373" s="8" t="n"/>
      <c r="M373" s="8" t="n"/>
      <c r="N373" s="8" t="n"/>
      <c r="O373" s="8" t="n"/>
      <c r="P373" s="8" t="n"/>
      <c r="Q373" s="8" t="n"/>
      <c r="R373" s="8" t="n"/>
      <c r="S373" s="8" t="n"/>
      <c r="T373" s="8" t="n"/>
      <c r="U373" s="8" t="n"/>
      <c r="V373" s="8" t="n"/>
      <c r="W373" s="8" t="n"/>
      <c r="X373" s="8" t="n"/>
      <c r="Y373" s="8" t="n"/>
      <c r="Z373" s="8" t="n"/>
      <c r="AA373" s="8" t="n"/>
      <c r="AB373" s="8" t="n"/>
      <c r="AC373" s="8" t="n"/>
      <c r="AD373" s="8" t="n"/>
      <c r="AE373" s="8" t="n"/>
      <c r="AF373" s="8" t="n"/>
      <c r="AG373" s="8" t="n"/>
      <c r="AH373" s="8" t="n"/>
      <c r="AI373" s="8" t="n"/>
      <c r="AJ373" s="8" t="n"/>
      <c r="AK373" s="8" t="n"/>
      <c r="AL373" s="8" t="n"/>
      <c r="AM373" s="8" t="n"/>
      <c r="AN373" s="8" t="n"/>
      <c r="AO373" s="8" t="n"/>
      <c r="AP373" s="8" t="n"/>
      <c r="AQ373" s="8" t="n"/>
      <c r="AR373" s="8" t="n"/>
      <c r="AS373" s="8" t="n"/>
      <c r="AT373" s="8" t="n"/>
      <c r="AU373" s="8" t="n"/>
      <c r="AV373" s="8" t="n"/>
      <c r="AW373" s="8" t="n"/>
      <c r="AX373" s="8" t="n"/>
      <c r="AY373" s="8" t="n"/>
      <c r="AZ373" s="8" t="n"/>
    </row>
    <row r="374" customFormat="1" s="12">
      <c r="D374" s="13" t="n"/>
      <c r="E374" s="8" t="n"/>
      <c r="F374" s="8" t="n"/>
      <c r="G374" s="8" t="n"/>
      <c r="H374" s="8" t="n"/>
      <c r="I374" s="8" t="n"/>
      <c r="J374" s="8" t="n"/>
      <c r="K374" s="8" t="n"/>
      <c r="L374" s="8" t="n"/>
      <c r="M374" s="8" t="n"/>
      <c r="N374" s="8" t="n"/>
      <c r="O374" s="8" t="n"/>
      <c r="P374" s="8" t="n"/>
      <c r="Q374" s="8" t="n"/>
      <c r="R374" s="8" t="n"/>
      <c r="S374" s="8" t="n"/>
      <c r="T374" s="8" t="n"/>
      <c r="U374" s="8" t="n"/>
      <c r="V374" s="8" t="n"/>
      <c r="W374" s="8" t="n"/>
      <c r="X374" s="8" t="n"/>
      <c r="Y374" s="8" t="n"/>
      <c r="Z374" s="8" t="n"/>
      <c r="AA374" s="8" t="n"/>
      <c r="AB374" s="8" t="n"/>
      <c r="AC374" s="8" t="n"/>
      <c r="AD374" s="8" t="n"/>
      <c r="AE374" s="8" t="n"/>
      <c r="AF374" s="8" t="n"/>
      <c r="AG374" s="8" t="n"/>
      <c r="AH374" s="8" t="n"/>
      <c r="AI374" s="8" t="n"/>
      <c r="AJ374" s="8" t="n"/>
      <c r="AK374" s="8" t="n"/>
      <c r="AL374" s="8" t="n"/>
      <c r="AM374" s="8" t="n"/>
      <c r="AN374" s="8" t="n"/>
      <c r="AO374" s="8" t="n"/>
      <c r="AP374" s="8" t="n"/>
      <c r="AQ374" s="8" t="n"/>
      <c r="AR374" s="8" t="n"/>
      <c r="AS374" s="8" t="n"/>
      <c r="AT374" s="8" t="n"/>
      <c r="AU374" s="8" t="n"/>
      <c r="AV374" s="8" t="n"/>
      <c r="AW374" s="8" t="n"/>
      <c r="AX374" s="8" t="n"/>
      <c r="AY374" s="8" t="n"/>
      <c r="AZ374" s="8" t="n"/>
    </row>
    <row r="375" customFormat="1" s="12">
      <c r="D375" s="13" t="n"/>
      <c r="E375" s="8" t="n"/>
      <c r="F375" s="8" t="n"/>
      <c r="G375" s="8" t="n"/>
      <c r="H375" s="8" t="n"/>
      <c r="I375" s="8" t="n"/>
      <c r="J375" s="8" t="n"/>
      <c r="K375" s="8" t="n"/>
      <c r="L375" s="8" t="n"/>
      <c r="M375" s="8" t="n"/>
      <c r="N375" s="8" t="n"/>
      <c r="O375" s="8" t="n"/>
      <c r="P375" s="8" t="n"/>
      <c r="Q375" s="8" t="n"/>
      <c r="R375" s="8" t="n"/>
      <c r="S375" s="8" t="n"/>
      <c r="T375" s="8" t="n"/>
      <c r="U375" s="8" t="n"/>
      <c r="V375" s="8" t="n"/>
      <c r="W375" s="8" t="n"/>
      <c r="X375" s="8" t="n"/>
      <c r="Y375" s="8" t="n"/>
      <c r="Z375" s="8" t="n"/>
      <c r="AA375" s="8" t="n"/>
      <c r="AB375" s="8" t="n"/>
      <c r="AC375" s="8" t="n"/>
      <c r="AD375" s="8" t="n"/>
      <c r="AE375" s="8" t="n"/>
      <c r="AF375" s="8" t="n"/>
      <c r="AG375" s="8" t="n"/>
      <c r="AH375" s="8" t="n"/>
      <c r="AI375" s="8" t="n"/>
      <c r="AJ375" s="8" t="n"/>
      <c r="AK375" s="8" t="n"/>
      <c r="AL375" s="8" t="n"/>
      <c r="AM375" s="8" t="n"/>
      <c r="AN375" s="8" t="n"/>
      <c r="AO375" s="8" t="n"/>
      <c r="AP375" s="8" t="n"/>
      <c r="AQ375" s="8" t="n"/>
      <c r="AR375" s="8" t="n"/>
      <c r="AS375" s="8" t="n"/>
      <c r="AT375" s="8" t="n"/>
      <c r="AU375" s="8" t="n"/>
      <c r="AV375" s="8" t="n"/>
      <c r="AW375" s="8" t="n"/>
      <c r="AX375" s="8" t="n"/>
      <c r="AY375" s="8" t="n"/>
      <c r="AZ375" s="8" t="n"/>
    </row>
    <row r="376" customFormat="1" s="12">
      <c r="D376" s="13" t="n"/>
      <c r="E376" s="8" t="n"/>
      <c r="F376" s="8" t="n"/>
      <c r="G376" s="8" t="n"/>
      <c r="H376" s="8" t="n"/>
      <c r="I376" s="8" t="n"/>
      <c r="J376" s="8" t="n"/>
      <c r="K376" s="8" t="n"/>
      <c r="L376" s="8" t="n"/>
      <c r="M376" s="8" t="n"/>
      <c r="N376" s="8" t="n"/>
      <c r="O376" s="8" t="n"/>
      <c r="P376" s="8" t="n"/>
      <c r="Q376" s="8" t="n"/>
      <c r="R376" s="8" t="n"/>
      <c r="S376" s="8" t="n"/>
      <c r="T376" s="8" t="n"/>
      <c r="U376" s="8" t="n"/>
      <c r="V376" s="8" t="n"/>
      <c r="W376" s="8" t="n"/>
      <c r="X376" s="8" t="n"/>
      <c r="Y376" s="8" t="n"/>
      <c r="Z376" s="8" t="n"/>
      <c r="AA376" s="8" t="n"/>
      <c r="AB376" s="8" t="n"/>
      <c r="AC376" s="8" t="n"/>
      <c r="AD376" s="8" t="n"/>
      <c r="AE376" s="8" t="n"/>
      <c r="AF376" s="8" t="n"/>
      <c r="AG376" s="8" t="n"/>
      <c r="AH376" s="8" t="n"/>
      <c r="AI376" s="8" t="n"/>
      <c r="AJ376" s="8" t="n"/>
      <c r="AK376" s="8" t="n"/>
      <c r="AL376" s="8" t="n"/>
      <c r="AM376" s="8" t="n"/>
      <c r="AN376" s="8" t="n"/>
      <c r="AO376" s="8" t="n"/>
      <c r="AP376" s="8" t="n"/>
      <c r="AQ376" s="8" t="n"/>
      <c r="AR376" s="8" t="n"/>
      <c r="AS376" s="8" t="n"/>
      <c r="AT376" s="8" t="n"/>
      <c r="AU376" s="8" t="n"/>
      <c r="AV376" s="8" t="n"/>
      <c r="AW376" s="8" t="n"/>
      <c r="AX376" s="8" t="n"/>
      <c r="AY376" s="8" t="n"/>
      <c r="AZ376" s="8" t="n"/>
    </row>
    <row r="377" customFormat="1" s="12">
      <c r="D377" s="13" t="n"/>
      <c r="E377" s="8" t="n"/>
      <c r="F377" s="8" t="n"/>
      <c r="G377" s="8" t="n"/>
      <c r="H377" s="8" t="n"/>
      <c r="I377" s="8" t="n"/>
      <c r="J377" s="8" t="n"/>
      <c r="K377" s="8" t="n"/>
      <c r="L377" s="8" t="n"/>
      <c r="M377" s="8" t="n"/>
      <c r="N377" s="8" t="n"/>
      <c r="O377" s="8" t="n"/>
      <c r="P377" s="8" t="n"/>
      <c r="Q377" s="8" t="n"/>
      <c r="R377" s="8" t="n"/>
      <c r="S377" s="8" t="n"/>
      <c r="T377" s="8" t="n"/>
      <c r="U377" s="8" t="n"/>
      <c r="V377" s="8" t="n"/>
      <c r="W377" s="8" t="n"/>
      <c r="X377" s="8" t="n"/>
      <c r="Y377" s="8" t="n"/>
      <c r="Z377" s="8" t="n"/>
      <c r="AA377" s="8" t="n"/>
      <c r="AB377" s="8" t="n"/>
      <c r="AC377" s="8" t="n"/>
      <c r="AD377" s="8" t="n"/>
      <c r="AE377" s="8" t="n"/>
      <c r="AF377" s="8" t="n"/>
      <c r="AG377" s="8" t="n"/>
      <c r="AH377" s="8" t="n"/>
      <c r="AI377" s="8" t="n"/>
      <c r="AJ377" s="8" t="n"/>
      <c r="AK377" s="8" t="n"/>
      <c r="AL377" s="8" t="n"/>
      <c r="AM377" s="8" t="n"/>
      <c r="AN377" s="8" t="n"/>
      <c r="AO377" s="8" t="n"/>
      <c r="AP377" s="8" t="n"/>
      <c r="AQ377" s="8" t="n"/>
      <c r="AR377" s="8" t="n"/>
      <c r="AS377" s="8" t="n"/>
      <c r="AT377" s="8" t="n"/>
      <c r="AU377" s="8" t="n"/>
      <c r="AV377" s="8" t="n"/>
      <c r="AW377" s="8" t="n"/>
      <c r="AX377" s="8" t="n"/>
      <c r="AY377" s="8" t="n"/>
      <c r="AZ377" s="8" t="n"/>
    </row>
    <row r="378" customFormat="1" s="12">
      <c r="D378" s="13" t="n"/>
      <c r="E378" s="8" t="n"/>
      <c r="F378" s="8" t="n"/>
      <c r="G378" s="8" t="n"/>
      <c r="H378" s="8" t="n"/>
      <c r="I378" s="8" t="n"/>
      <c r="J378" s="8" t="n"/>
      <c r="K378" s="8" t="n"/>
      <c r="L378" s="8" t="n"/>
      <c r="M378" s="8" t="n"/>
      <c r="N378" s="8" t="n"/>
      <c r="O378" s="8" t="n"/>
      <c r="P378" s="8" t="n"/>
      <c r="Q378" s="8" t="n"/>
      <c r="R378" s="8" t="n"/>
      <c r="S378" s="8" t="n"/>
      <c r="T378" s="8" t="n"/>
      <c r="U378" s="8" t="n"/>
      <c r="V378" s="8" t="n"/>
      <c r="W378" s="8" t="n"/>
      <c r="X378" s="8" t="n"/>
      <c r="Y378" s="8" t="n"/>
      <c r="Z378" s="8" t="n"/>
      <c r="AA378" s="8" t="n"/>
      <c r="AB378" s="8" t="n"/>
      <c r="AC378" s="8" t="n"/>
      <c r="AD378" s="8" t="n"/>
      <c r="AE378" s="8" t="n"/>
      <c r="AF378" s="8" t="n"/>
      <c r="AG378" s="8" t="n"/>
      <c r="AH378" s="8" t="n"/>
      <c r="AI378" s="8" t="n"/>
      <c r="AJ378" s="8" t="n"/>
      <c r="AK378" s="8" t="n"/>
      <c r="AL378" s="8" t="n"/>
      <c r="AM378" s="8" t="n"/>
      <c r="AN378" s="8" t="n"/>
      <c r="AO378" s="8" t="n"/>
      <c r="AP378" s="8" t="n"/>
      <c r="AQ378" s="8" t="n"/>
      <c r="AR378" s="8" t="n"/>
      <c r="AS378" s="8" t="n"/>
      <c r="AT378" s="8" t="n"/>
      <c r="AU378" s="8" t="n"/>
      <c r="AV378" s="8" t="n"/>
      <c r="AW378" s="8" t="n"/>
      <c r="AX378" s="8" t="n"/>
      <c r="AY378" s="8" t="n"/>
      <c r="AZ378" s="8" t="n"/>
    </row>
    <row r="379" customFormat="1" s="12">
      <c r="D379" s="13" t="n"/>
      <c r="E379" s="8" t="n"/>
      <c r="F379" s="8" t="n"/>
      <c r="G379" s="8" t="n"/>
      <c r="H379" s="8" t="n"/>
      <c r="I379" s="8" t="n"/>
      <c r="J379" s="8" t="n"/>
      <c r="K379" s="8" t="n"/>
      <c r="L379" s="8" t="n"/>
      <c r="M379" s="8" t="n"/>
      <c r="N379" s="8" t="n"/>
      <c r="O379" s="8" t="n"/>
      <c r="P379" s="8" t="n"/>
      <c r="Q379" s="8" t="n"/>
      <c r="R379" s="8" t="n"/>
      <c r="S379" s="8" t="n"/>
      <c r="T379" s="8" t="n"/>
      <c r="U379" s="8" t="n"/>
      <c r="V379" s="8" t="n"/>
      <c r="W379" s="8" t="n"/>
      <c r="X379" s="8" t="n"/>
      <c r="Y379" s="8" t="n"/>
      <c r="Z379" s="8" t="n"/>
      <c r="AA379" s="8" t="n"/>
      <c r="AB379" s="8" t="n"/>
      <c r="AC379" s="8" t="n"/>
      <c r="AD379" s="8" t="n"/>
      <c r="AE379" s="8" t="n"/>
      <c r="AF379" s="8" t="n"/>
      <c r="AG379" s="8" t="n"/>
      <c r="AH379" s="8" t="n"/>
      <c r="AI379" s="8" t="n"/>
      <c r="AJ379" s="8" t="n"/>
      <c r="AK379" s="8" t="n"/>
      <c r="AL379" s="8" t="n"/>
      <c r="AM379" s="8" t="n"/>
      <c r="AN379" s="8" t="n"/>
      <c r="AO379" s="8" t="n"/>
      <c r="AP379" s="8" t="n"/>
      <c r="AQ379" s="8" t="n"/>
      <c r="AR379" s="8" t="n"/>
      <c r="AS379" s="8" t="n"/>
      <c r="AT379" s="8" t="n"/>
      <c r="AU379" s="8" t="n"/>
      <c r="AV379" s="8" t="n"/>
      <c r="AW379" s="8" t="n"/>
      <c r="AX379" s="8" t="n"/>
      <c r="AY379" s="8" t="n"/>
      <c r="AZ379" s="8" t="n"/>
    </row>
    <row r="380" customFormat="1" s="12">
      <c r="D380" s="13" t="n"/>
      <c r="E380" s="8" t="n"/>
      <c r="F380" s="8" t="n"/>
      <c r="G380" s="8" t="n"/>
      <c r="H380" s="8" t="n"/>
      <c r="I380" s="8" t="n"/>
      <c r="J380" s="8" t="n"/>
      <c r="K380" s="8" t="n"/>
      <c r="L380" s="8" t="n"/>
      <c r="M380" s="8" t="n"/>
      <c r="N380" s="8" t="n"/>
      <c r="O380" s="8" t="n"/>
      <c r="P380" s="8" t="n"/>
      <c r="Q380" s="8" t="n"/>
      <c r="R380" s="8" t="n"/>
      <c r="S380" s="8" t="n"/>
      <c r="T380" s="8" t="n"/>
      <c r="U380" s="8" t="n"/>
      <c r="V380" s="8" t="n"/>
      <c r="W380" s="8" t="n"/>
      <c r="X380" s="8" t="n"/>
      <c r="Y380" s="8" t="n"/>
      <c r="Z380" s="8" t="n"/>
      <c r="AA380" s="8" t="n"/>
      <c r="AB380" s="8" t="n"/>
      <c r="AC380" s="8" t="n"/>
      <c r="AD380" s="8" t="n"/>
      <c r="AE380" s="8" t="n"/>
      <c r="AF380" s="8" t="n"/>
      <c r="AG380" s="8" t="n"/>
      <c r="AH380" s="8" t="n"/>
      <c r="AI380" s="8" t="n"/>
      <c r="AJ380" s="8" t="n"/>
      <c r="AK380" s="8" t="n"/>
      <c r="AL380" s="8" t="n"/>
      <c r="AM380" s="8" t="n"/>
      <c r="AN380" s="8" t="n"/>
      <c r="AO380" s="8" t="n"/>
      <c r="AP380" s="8" t="n"/>
      <c r="AQ380" s="8" t="n"/>
      <c r="AR380" s="8" t="n"/>
      <c r="AS380" s="8" t="n"/>
      <c r="AT380" s="8" t="n"/>
      <c r="AU380" s="8" t="n"/>
      <c r="AV380" s="8" t="n"/>
      <c r="AW380" s="8" t="n"/>
      <c r="AX380" s="8" t="n"/>
      <c r="AY380" s="8" t="n"/>
      <c r="AZ380" s="8" t="n"/>
    </row>
    <row r="381" customFormat="1" s="12">
      <c r="D381" s="13" t="n"/>
      <c r="E381" s="8" t="n"/>
      <c r="F381" s="8" t="n"/>
      <c r="G381" s="8" t="n"/>
      <c r="H381" s="8" t="n"/>
      <c r="I381" s="8" t="n"/>
      <c r="J381" s="8" t="n"/>
      <c r="K381" s="8" t="n"/>
      <c r="L381" s="8" t="n"/>
      <c r="M381" s="8" t="n"/>
      <c r="N381" s="8" t="n"/>
      <c r="O381" s="8" t="n"/>
      <c r="P381" s="8" t="n"/>
      <c r="Q381" s="8" t="n"/>
      <c r="R381" s="8" t="n"/>
      <c r="S381" s="8" t="n"/>
      <c r="T381" s="8" t="n"/>
      <c r="U381" s="8" t="n"/>
      <c r="V381" s="8" t="n"/>
      <c r="W381" s="8" t="n"/>
      <c r="X381" s="8" t="n"/>
      <c r="Y381" s="8" t="n"/>
      <c r="Z381" s="8" t="n"/>
      <c r="AA381" s="8" t="n"/>
      <c r="AB381" s="8" t="n"/>
      <c r="AC381" s="8" t="n"/>
      <c r="AD381" s="8" t="n"/>
      <c r="AE381" s="8" t="n"/>
      <c r="AF381" s="8" t="n"/>
      <c r="AG381" s="8" t="n"/>
      <c r="AH381" s="8" t="n"/>
      <c r="AI381" s="8" t="n"/>
      <c r="AJ381" s="8" t="n"/>
      <c r="AK381" s="8" t="n"/>
      <c r="AL381" s="8" t="n"/>
      <c r="AM381" s="8" t="n"/>
      <c r="AN381" s="8" t="n"/>
      <c r="AO381" s="8" t="n"/>
      <c r="AP381" s="8" t="n"/>
      <c r="AQ381" s="8" t="n"/>
      <c r="AR381" s="8" t="n"/>
      <c r="AS381" s="8" t="n"/>
      <c r="AT381" s="8" t="n"/>
      <c r="AU381" s="8" t="n"/>
      <c r="AV381" s="8" t="n"/>
      <c r="AW381" s="8" t="n"/>
      <c r="AX381" s="8" t="n"/>
      <c r="AY381" s="8" t="n"/>
      <c r="AZ381" s="8" t="n"/>
    </row>
    <row r="382" customFormat="1" s="12">
      <c r="D382" s="13" t="n"/>
      <c r="E382" s="8" t="n"/>
      <c r="F382" s="8" t="n"/>
      <c r="G382" s="8" t="n"/>
      <c r="H382" s="8" t="n"/>
      <c r="I382" s="8" t="n"/>
      <c r="J382" s="8" t="n"/>
      <c r="K382" s="8" t="n"/>
      <c r="L382" s="8" t="n"/>
      <c r="M382" s="8" t="n"/>
      <c r="N382" s="8" t="n"/>
      <c r="O382" s="8" t="n"/>
      <c r="P382" s="8" t="n"/>
      <c r="Q382" s="8" t="n"/>
      <c r="R382" s="8" t="n"/>
      <c r="S382" s="8" t="n"/>
      <c r="T382" s="8" t="n"/>
      <c r="U382" s="8" t="n"/>
      <c r="V382" s="8" t="n"/>
      <c r="W382" s="8" t="n"/>
      <c r="X382" s="8" t="n"/>
      <c r="Y382" s="8" t="n"/>
      <c r="Z382" s="8" t="n"/>
      <c r="AA382" s="8" t="n"/>
      <c r="AB382" s="8" t="n"/>
      <c r="AC382" s="8" t="n"/>
      <c r="AD382" s="8" t="n"/>
      <c r="AE382" s="8" t="n"/>
      <c r="AF382" s="8" t="n"/>
      <c r="AG382" s="8" t="n"/>
      <c r="AH382" s="8" t="n"/>
      <c r="AI382" s="8" t="n"/>
      <c r="AJ382" s="8" t="n"/>
      <c r="AK382" s="8" t="n"/>
      <c r="AL382" s="8" t="n"/>
      <c r="AM382" s="8" t="n"/>
      <c r="AN382" s="8" t="n"/>
      <c r="AO382" s="8" t="n"/>
      <c r="AP382" s="8" t="n"/>
      <c r="AQ382" s="8" t="n"/>
      <c r="AR382" s="8" t="n"/>
      <c r="AS382" s="8" t="n"/>
      <c r="AT382" s="8" t="n"/>
      <c r="AU382" s="8" t="n"/>
      <c r="AV382" s="8" t="n"/>
      <c r="AW382" s="8" t="n"/>
      <c r="AX382" s="8" t="n"/>
      <c r="AY382" s="8" t="n"/>
      <c r="AZ382" s="8" t="n"/>
    </row>
    <row r="383" customFormat="1" s="12">
      <c r="D383" s="13" t="n"/>
      <c r="E383" s="8" t="n"/>
      <c r="F383" s="8" t="n"/>
      <c r="G383" s="8" t="n"/>
      <c r="H383" s="8" t="n"/>
      <c r="I383" s="8" t="n"/>
      <c r="J383" s="8" t="n"/>
      <c r="K383" s="8" t="n"/>
      <c r="L383" s="8" t="n"/>
      <c r="M383" s="8" t="n"/>
      <c r="N383" s="8" t="n"/>
      <c r="O383" s="8" t="n"/>
      <c r="P383" s="8" t="n"/>
      <c r="Q383" s="8" t="n"/>
      <c r="R383" s="8" t="n"/>
      <c r="S383" s="8" t="n"/>
      <c r="T383" s="8" t="n"/>
      <c r="U383" s="8" t="n"/>
      <c r="V383" s="8" t="n"/>
      <c r="W383" s="8" t="n"/>
      <c r="X383" s="8" t="n"/>
      <c r="Y383" s="8" t="n"/>
      <c r="Z383" s="8" t="n"/>
      <c r="AA383" s="8" t="n"/>
      <c r="AB383" s="8" t="n"/>
      <c r="AC383" s="8" t="n"/>
      <c r="AD383" s="8" t="n"/>
      <c r="AE383" s="8" t="n"/>
      <c r="AF383" s="8" t="n"/>
      <c r="AG383" s="8" t="n"/>
      <c r="AH383" s="8" t="n"/>
      <c r="AI383" s="8" t="n"/>
      <c r="AJ383" s="8" t="n"/>
      <c r="AK383" s="8" t="n"/>
      <c r="AL383" s="8" t="n"/>
      <c r="AM383" s="8" t="n"/>
      <c r="AN383" s="8" t="n"/>
      <c r="AO383" s="8" t="n"/>
      <c r="AP383" s="8" t="n"/>
      <c r="AQ383" s="8" t="n"/>
      <c r="AR383" s="8" t="n"/>
      <c r="AS383" s="8" t="n"/>
      <c r="AT383" s="8" t="n"/>
      <c r="AU383" s="8" t="n"/>
      <c r="AV383" s="8" t="n"/>
      <c r="AW383" s="8" t="n"/>
      <c r="AX383" s="8" t="n"/>
      <c r="AY383" s="8" t="n"/>
      <c r="AZ383" s="8" t="n"/>
    </row>
    <row r="384" customFormat="1" s="12">
      <c r="D384" s="13" t="n"/>
      <c r="E384" s="8" t="n"/>
      <c r="F384" s="8" t="n"/>
      <c r="G384" s="8" t="n"/>
      <c r="H384" s="8" t="n"/>
      <c r="I384" s="8" t="n"/>
      <c r="J384" s="8" t="n"/>
      <c r="K384" s="8" t="n"/>
      <c r="L384" s="8" t="n"/>
      <c r="M384" s="8" t="n"/>
      <c r="N384" s="8" t="n"/>
      <c r="O384" s="8" t="n"/>
      <c r="P384" s="8" t="n"/>
      <c r="Q384" s="8" t="n"/>
      <c r="R384" s="8" t="n"/>
      <c r="S384" s="8" t="n"/>
      <c r="T384" s="8" t="n"/>
      <c r="U384" s="8" t="n"/>
      <c r="V384" s="8" t="n"/>
      <c r="W384" s="8" t="n"/>
      <c r="X384" s="8" t="n"/>
      <c r="Y384" s="8" t="n"/>
      <c r="Z384" s="8" t="n"/>
      <c r="AA384" s="8" t="n"/>
      <c r="AB384" s="8" t="n"/>
      <c r="AC384" s="8" t="n"/>
      <c r="AD384" s="8" t="n"/>
      <c r="AE384" s="8" t="n"/>
      <c r="AF384" s="8" t="n"/>
      <c r="AG384" s="8" t="n"/>
      <c r="AH384" s="8" t="n"/>
      <c r="AI384" s="8" t="n"/>
      <c r="AJ384" s="8" t="n"/>
      <c r="AK384" s="8" t="n"/>
      <c r="AL384" s="8" t="n"/>
      <c r="AM384" s="8" t="n"/>
      <c r="AN384" s="8" t="n"/>
      <c r="AO384" s="8" t="n"/>
      <c r="AP384" s="8" t="n"/>
      <c r="AQ384" s="8" t="n"/>
      <c r="AR384" s="8" t="n"/>
      <c r="AS384" s="8" t="n"/>
      <c r="AT384" s="8" t="n"/>
      <c r="AU384" s="8" t="n"/>
      <c r="AV384" s="8" t="n"/>
      <c r="AW384" s="8" t="n"/>
      <c r="AX384" s="8" t="n"/>
      <c r="AY384" s="8" t="n"/>
      <c r="AZ384" s="8" t="n"/>
    </row>
    <row r="385" customFormat="1" s="12">
      <c r="D385" s="13" t="n"/>
      <c r="E385" s="8" t="n"/>
      <c r="F385" s="8" t="n"/>
      <c r="G385" s="8" t="n"/>
      <c r="H385" s="8" t="n"/>
      <c r="I385" s="8" t="n"/>
      <c r="J385" s="8" t="n"/>
      <c r="K385" s="8" t="n"/>
      <c r="L385" s="8" t="n"/>
      <c r="M385" s="8" t="n"/>
      <c r="N385" s="8" t="n"/>
      <c r="O385" s="8" t="n"/>
      <c r="P385" s="8" t="n"/>
      <c r="Q385" s="8" t="n"/>
      <c r="R385" s="8" t="n"/>
      <c r="S385" s="8" t="n"/>
      <c r="T385" s="8" t="n"/>
      <c r="U385" s="8" t="n"/>
      <c r="V385" s="8" t="n"/>
      <c r="W385" s="8" t="n"/>
      <c r="X385" s="8" t="n"/>
      <c r="Y385" s="8" t="n"/>
      <c r="Z385" s="8" t="n"/>
      <c r="AA385" s="8" t="n"/>
      <c r="AB385" s="8" t="n"/>
      <c r="AC385" s="8" t="n"/>
      <c r="AD385" s="8" t="n"/>
      <c r="AE385" s="8" t="n"/>
      <c r="AF385" s="8" t="n"/>
      <c r="AG385" s="8" t="n"/>
      <c r="AH385" s="8" t="n"/>
      <c r="AI385" s="8" t="n"/>
      <c r="AJ385" s="8" t="n"/>
      <c r="AK385" s="8" t="n"/>
      <c r="AL385" s="8" t="n"/>
      <c r="AM385" s="8" t="n"/>
      <c r="AN385" s="8" t="n"/>
      <c r="AO385" s="8" t="n"/>
      <c r="AP385" s="8" t="n"/>
      <c r="AQ385" s="8" t="n"/>
      <c r="AR385" s="8" t="n"/>
      <c r="AS385" s="8" t="n"/>
      <c r="AT385" s="8" t="n"/>
      <c r="AU385" s="8" t="n"/>
      <c r="AV385" s="8" t="n"/>
      <c r="AW385" s="8" t="n"/>
      <c r="AX385" s="8" t="n"/>
      <c r="AY385" s="8" t="n"/>
      <c r="AZ385" s="8" t="n"/>
    </row>
    <row r="386" customFormat="1" s="12">
      <c r="D386" s="13" t="n"/>
      <c r="E386" s="8" t="n"/>
      <c r="F386" s="8" t="n"/>
      <c r="G386" s="8" t="n"/>
      <c r="H386" s="8" t="n"/>
      <c r="I386" s="8" t="n"/>
      <c r="J386" s="8" t="n"/>
      <c r="K386" s="8" t="n"/>
      <c r="L386" s="8" t="n"/>
      <c r="M386" s="8" t="n"/>
      <c r="N386" s="8" t="n"/>
      <c r="O386" s="8" t="n"/>
      <c r="P386" s="8" t="n"/>
      <c r="Q386" s="8" t="n"/>
      <c r="R386" s="8" t="n"/>
      <c r="S386" s="8" t="n"/>
      <c r="T386" s="8" t="n"/>
      <c r="U386" s="8" t="n"/>
      <c r="V386" s="8" t="n"/>
      <c r="W386" s="8" t="n"/>
      <c r="X386" s="8" t="n"/>
      <c r="Y386" s="8" t="n"/>
      <c r="Z386" s="8" t="n"/>
      <c r="AA386" s="8" t="n"/>
      <c r="AB386" s="8" t="n"/>
      <c r="AC386" s="8" t="n"/>
      <c r="AD386" s="8" t="n"/>
      <c r="AE386" s="8" t="n"/>
      <c r="AF386" s="8" t="n"/>
      <c r="AG386" s="8" t="n"/>
      <c r="AH386" s="8" t="n"/>
      <c r="AI386" s="8" t="n"/>
      <c r="AJ386" s="8" t="n"/>
      <c r="AK386" s="8" t="n"/>
      <c r="AL386" s="8" t="n"/>
      <c r="AM386" s="8" t="n"/>
      <c r="AN386" s="8" t="n"/>
      <c r="AO386" s="8" t="n"/>
      <c r="AP386" s="8" t="n"/>
      <c r="AQ386" s="8" t="n"/>
      <c r="AR386" s="8" t="n"/>
      <c r="AS386" s="8" t="n"/>
      <c r="AT386" s="8" t="n"/>
      <c r="AU386" s="8" t="n"/>
      <c r="AV386" s="8" t="n"/>
      <c r="AW386" s="8" t="n"/>
      <c r="AX386" s="8" t="n"/>
      <c r="AY386" s="8" t="n"/>
      <c r="AZ386" s="8" t="n"/>
    </row>
    <row r="387" customFormat="1" s="12">
      <c r="D387" s="13" t="n"/>
      <c r="E387" s="8" t="n"/>
      <c r="F387" s="8" t="n"/>
      <c r="G387" s="8" t="n"/>
      <c r="H387" s="8" t="n"/>
      <c r="I387" s="8" t="n"/>
      <c r="J387" s="8" t="n"/>
      <c r="K387" s="8" t="n"/>
      <c r="L387" s="8" t="n"/>
      <c r="M387" s="8" t="n"/>
      <c r="N387" s="8" t="n"/>
      <c r="O387" s="8" t="n"/>
      <c r="P387" s="8" t="n"/>
      <c r="Q387" s="8" t="n"/>
      <c r="R387" s="8" t="n"/>
      <c r="S387" s="8" t="n"/>
      <c r="T387" s="8" t="n"/>
      <c r="U387" s="8" t="n"/>
      <c r="V387" s="8" t="n"/>
      <c r="W387" s="8" t="n"/>
      <c r="X387" s="8" t="n"/>
      <c r="Y387" s="8" t="n"/>
      <c r="Z387" s="8" t="n"/>
      <c r="AA387" s="8" t="n"/>
      <c r="AB387" s="8" t="n"/>
      <c r="AC387" s="8" t="n"/>
      <c r="AD387" s="8" t="n"/>
      <c r="AE387" s="8" t="n"/>
      <c r="AF387" s="8" t="n"/>
      <c r="AG387" s="8" t="n"/>
      <c r="AH387" s="8" t="n"/>
      <c r="AI387" s="8" t="n"/>
      <c r="AJ387" s="8" t="n"/>
      <c r="AK387" s="8" t="n"/>
      <c r="AL387" s="8" t="n"/>
      <c r="AM387" s="8" t="n"/>
      <c r="AN387" s="8" t="n"/>
      <c r="AO387" s="8" t="n"/>
      <c r="AP387" s="8" t="n"/>
      <c r="AQ387" s="8" t="n"/>
      <c r="AR387" s="8" t="n"/>
      <c r="AS387" s="8" t="n"/>
      <c r="AT387" s="8" t="n"/>
      <c r="AU387" s="8" t="n"/>
      <c r="AV387" s="8" t="n"/>
      <c r="AW387" s="8" t="n"/>
      <c r="AX387" s="8" t="n"/>
      <c r="AY387" s="8" t="n"/>
      <c r="AZ387" s="8" t="n"/>
    </row>
    <row r="388" customFormat="1" s="12">
      <c r="D388" s="13" t="n"/>
      <c r="E388" s="8" t="n"/>
      <c r="F388" s="8" t="n"/>
      <c r="G388" s="8" t="n"/>
      <c r="H388" s="8" t="n"/>
      <c r="I388" s="8" t="n"/>
      <c r="J388" s="8" t="n"/>
      <c r="K388" s="8" t="n"/>
      <c r="L388" s="8" t="n"/>
      <c r="M388" s="8" t="n"/>
      <c r="N388" s="8" t="n"/>
      <c r="O388" s="8" t="n"/>
      <c r="P388" s="8" t="n"/>
      <c r="Q388" s="8" t="n"/>
      <c r="R388" s="8" t="n"/>
      <c r="S388" s="8" t="n"/>
      <c r="T388" s="8" t="n"/>
      <c r="U388" s="8" t="n"/>
      <c r="V388" s="8" t="n"/>
      <c r="W388" s="8" t="n"/>
      <c r="X388" s="8" t="n"/>
      <c r="Y388" s="8" t="n"/>
      <c r="Z388" s="8" t="n"/>
      <c r="AA388" s="8" t="n"/>
      <c r="AB388" s="8" t="n"/>
      <c r="AC388" s="8" t="n"/>
      <c r="AD388" s="8" t="n"/>
      <c r="AE388" s="8" t="n"/>
      <c r="AF388" s="8" t="n"/>
      <c r="AG388" s="8" t="n"/>
      <c r="AH388" s="8" t="n"/>
      <c r="AI388" s="8" t="n"/>
      <c r="AJ388" s="8" t="n"/>
      <c r="AK388" s="8" t="n"/>
      <c r="AL388" s="8" t="n"/>
      <c r="AM388" s="8" t="n"/>
      <c r="AN388" s="8" t="n"/>
      <c r="AO388" s="8" t="n"/>
      <c r="AP388" s="8" t="n"/>
      <c r="AQ388" s="8" t="n"/>
      <c r="AR388" s="8" t="n"/>
      <c r="AS388" s="8" t="n"/>
      <c r="AT388" s="8" t="n"/>
      <c r="AU388" s="8" t="n"/>
      <c r="AV388" s="8" t="n"/>
      <c r="AW388" s="8" t="n"/>
      <c r="AX388" s="8" t="n"/>
      <c r="AY388" s="8" t="n"/>
      <c r="AZ388" s="8" t="n"/>
    </row>
    <row r="389" customFormat="1" s="12">
      <c r="D389" s="13" t="n"/>
      <c r="E389" s="8" t="n"/>
      <c r="F389" s="8" t="n"/>
      <c r="G389" s="8" t="n"/>
      <c r="H389" s="8" t="n"/>
      <c r="I389" s="8" t="n"/>
      <c r="J389" s="8" t="n"/>
      <c r="K389" s="8" t="n"/>
      <c r="L389" s="8" t="n"/>
      <c r="M389" s="8" t="n"/>
      <c r="N389" s="8" t="n"/>
      <c r="O389" s="8" t="n"/>
      <c r="P389" s="8" t="n"/>
      <c r="Q389" s="8" t="n"/>
      <c r="R389" s="8" t="n"/>
      <c r="S389" s="8" t="n"/>
      <c r="T389" s="8" t="n"/>
      <c r="U389" s="8" t="n"/>
      <c r="V389" s="8" t="n"/>
      <c r="W389" s="8" t="n"/>
      <c r="X389" s="8" t="n"/>
      <c r="Y389" s="8" t="n"/>
      <c r="Z389" s="8" t="n"/>
      <c r="AA389" s="8" t="n"/>
      <c r="AB389" s="8" t="n"/>
      <c r="AC389" s="8" t="n"/>
      <c r="AD389" s="8" t="n"/>
      <c r="AE389" s="8" t="n"/>
      <c r="AF389" s="8" t="n"/>
      <c r="AG389" s="8" t="n"/>
      <c r="AH389" s="8" t="n"/>
      <c r="AI389" s="8" t="n"/>
      <c r="AJ389" s="8" t="n"/>
      <c r="AK389" s="8" t="n"/>
      <c r="AL389" s="8" t="n"/>
      <c r="AM389" s="8" t="n"/>
      <c r="AN389" s="8" t="n"/>
      <c r="AO389" s="8" t="n"/>
      <c r="AP389" s="8" t="n"/>
      <c r="AQ389" s="8" t="n"/>
      <c r="AR389" s="8" t="n"/>
      <c r="AS389" s="8" t="n"/>
      <c r="AT389" s="8" t="n"/>
      <c r="AU389" s="8" t="n"/>
      <c r="AV389" s="8" t="n"/>
      <c r="AW389" s="8" t="n"/>
      <c r="AX389" s="8" t="n"/>
      <c r="AY389" s="8" t="n"/>
      <c r="AZ389" s="8" t="n"/>
    </row>
    <row r="390" customFormat="1" s="12">
      <c r="D390" s="13" t="n"/>
      <c r="E390" s="8" t="n"/>
      <c r="F390" s="8" t="n"/>
      <c r="G390" s="8" t="n"/>
      <c r="H390" s="8" t="n"/>
      <c r="I390" s="8" t="n"/>
      <c r="J390" s="8" t="n"/>
      <c r="K390" s="8" t="n"/>
      <c r="L390" s="8" t="n"/>
      <c r="M390" s="8" t="n"/>
      <c r="N390" s="8" t="n"/>
      <c r="O390" s="8" t="n"/>
      <c r="P390" s="8" t="n"/>
      <c r="Q390" s="8" t="n"/>
      <c r="R390" s="8" t="n"/>
      <c r="S390" s="8" t="n"/>
      <c r="T390" s="8" t="n"/>
      <c r="U390" s="8" t="n"/>
      <c r="V390" s="8" t="n"/>
      <c r="W390" s="8" t="n"/>
      <c r="X390" s="8" t="n"/>
      <c r="Y390" s="8" t="n"/>
      <c r="Z390" s="8" t="n"/>
      <c r="AA390" s="8" t="n"/>
      <c r="AB390" s="8" t="n"/>
      <c r="AC390" s="8" t="n"/>
      <c r="AD390" s="8" t="n"/>
      <c r="AE390" s="8" t="n"/>
      <c r="AF390" s="8" t="n"/>
      <c r="AG390" s="8" t="n"/>
      <c r="AH390" s="8" t="n"/>
      <c r="AI390" s="8" t="n"/>
      <c r="AJ390" s="8" t="n"/>
      <c r="AK390" s="8" t="n"/>
      <c r="AL390" s="8" t="n"/>
      <c r="AM390" s="8" t="n"/>
      <c r="AN390" s="8" t="n"/>
      <c r="AO390" s="8" t="n"/>
      <c r="AP390" s="8" t="n"/>
      <c r="AQ390" s="8" t="n"/>
      <c r="AR390" s="8" t="n"/>
      <c r="AS390" s="8" t="n"/>
      <c r="AT390" s="8" t="n"/>
      <c r="AU390" s="8" t="n"/>
      <c r="AV390" s="8" t="n"/>
      <c r="AW390" s="8" t="n"/>
      <c r="AX390" s="8" t="n"/>
      <c r="AY390" s="8" t="n"/>
      <c r="AZ390" s="8" t="n"/>
    </row>
    <row r="391" customFormat="1" s="12">
      <c r="D391" s="13" t="n"/>
      <c r="E391" s="8" t="n"/>
      <c r="F391" s="8" t="n"/>
      <c r="G391" s="8" t="n"/>
      <c r="H391" s="8" t="n"/>
      <c r="I391" s="8" t="n"/>
      <c r="J391" s="8" t="n"/>
      <c r="K391" s="8" t="n"/>
      <c r="L391" s="8" t="n"/>
      <c r="M391" s="8" t="n"/>
      <c r="N391" s="8" t="n"/>
      <c r="O391" s="8" t="n"/>
      <c r="P391" s="8" t="n"/>
      <c r="Q391" s="8" t="n"/>
      <c r="R391" s="8" t="n"/>
      <c r="S391" s="8" t="n"/>
      <c r="T391" s="8" t="n"/>
      <c r="U391" s="8" t="n"/>
      <c r="V391" s="8" t="n"/>
      <c r="W391" s="8" t="n"/>
      <c r="X391" s="8" t="n"/>
      <c r="Y391" s="8" t="n"/>
      <c r="Z391" s="8" t="n"/>
      <c r="AA391" s="8" t="n"/>
      <c r="AB391" s="8" t="n"/>
      <c r="AC391" s="8" t="n"/>
      <c r="AD391" s="8" t="n"/>
      <c r="AE391" s="8" t="n"/>
      <c r="AF391" s="8" t="n"/>
      <c r="AG391" s="8" t="n"/>
      <c r="AH391" s="8" t="n"/>
      <c r="AI391" s="8" t="n"/>
      <c r="AJ391" s="8" t="n"/>
      <c r="AK391" s="8" t="n"/>
      <c r="AL391" s="8" t="n"/>
      <c r="AM391" s="8" t="n"/>
      <c r="AN391" s="8" t="n"/>
      <c r="AO391" s="8" t="n"/>
      <c r="AP391" s="8" t="n"/>
      <c r="AQ391" s="8" t="n"/>
      <c r="AR391" s="8" t="n"/>
      <c r="AS391" s="8" t="n"/>
      <c r="AT391" s="8" t="n"/>
      <c r="AU391" s="8" t="n"/>
      <c r="AV391" s="8" t="n"/>
      <c r="AW391" s="8" t="n"/>
      <c r="AX391" s="8" t="n"/>
      <c r="AY391" s="8" t="n"/>
      <c r="AZ391" s="8" t="n"/>
    </row>
    <row r="392" customFormat="1" s="12">
      <c r="D392" s="13" t="n"/>
      <c r="E392" s="8" t="n"/>
      <c r="F392" s="8" t="n"/>
      <c r="G392" s="8" t="n"/>
      <c r="H392" s="8" t="n"/>
      <c r="I392" s="8" t="n"/>
      <c r="J392" s="8" t="n"/>
      <c r="K392" s="8" t="n"/>
      <c r="L392" s="8" t="n"/>
      <c r="M392" s="8" t="n"/>
      <c r="N392" s="8" t="n"/>
      <c r="O392" s="8" t="n"/>
      <c r="P392" s="8" t="n"/>
      <c r="Q392" s="8" t="n"/>
      <c r="R392" s="8" t="n"/>
      <c r="S392" s="8" t="n"/>
      <c r="T392" s="8" t="n"/>
      <c r="U392" s="8" t="n"/>
      <c r="V392" s="8" t="n"/>
      <c r="W392" s="8" t="n"/>
      <c r="X392" s="8" t="n"/>
      <c r="Y392" s="8" t="n"/>
      <c r="Z392" s="8" t="n"/>
      <c r="AA392" s="8" t="n"/>
      <c r="AB392" s="8" t="n"/>
      <c r="AC392" s="8" t="n"/>
      <c r="AD392" s="8" t="n"/>
      <c r="AE392" s="8" t="n"/>
      <c r="AF392" s="8" t="n"/>
      <c r="AG392" s="8" t="n"/>
      <c r="AH392" s="8" t="n"/>
      <c r="AI392" s="8" t="n"/>
      <c r="AJ392" s="8" t="n"/>
      <c r="AK392" s="8" t="n"/>
      <c r="AL392" s="8" t="n"/>
      <c r="AM392" s="8" t="n"/>
      <c r="AN392" s="8" t="n"/>
      <c r="AO392" s="8" t="n"/>
      <c r="AP392" s="8" t="n"/>
      <c r="AQ392" s="8" t="n"/>
      <c r="AR392" s="8" t="n"/>
      <c r="AS392" s="8" t="n"/>
      <c r="AT392" s="8" t="n"/>
      <c r="AU392" s="8" t="n"/>
      <c r="AV392" s="8" t="n"/>
      <c r="AW392" s="8" t="n"/>
      <c r="AX392" s="8" t="n"/>
      <c r="AY392" s="8" t="n"/>
      <c r="AZ392" s="8" t="n"/>
    </row>
    <row r="393" customFormat="1" s="12">
      <c r="D393" s="13" t="n"/>
      <c r="E393" s="8" t="n"/>
      <c r="F393" s="8" t="n"/>
      <c r="G393" s="8" t="n"/>
      <c r="H393" s="8" t="n"/>
      <c r="I393" s="8" t="n"/>
      <c r="J393" s="8" t="n"/>
      <c r="K393" s="8" t="n"/>
      <c r="L393" s="8" t="n"/>
      <c r="M393" s="8" t="n"/>
      <c r="N393" s="8" t="n"/>
      <c r="O393" s="8" t="n"/>
      <c r="P393" s="8" t="n"/>
      <c r="Q393" s="8" t="n"/>
      <c r="R393" s="8" t="n"/>
      <c r="S393" s="8" t="n"/>
      <c r="T393" s="8" t="n"/>
      <c r="U393" s="8" t="n"/>
      <c r="V393" s="8" t="n"/>
      <c r="W393" s="8" t="n"/>
      <c r="X393" s="8" t="n"/>
      <c r="Y393" s="8" t="n"/>
      <c r="Z393" s="8" t="n"/>
      <c r="AA393" s="8" t="n"/>
      <c r="AB393" s="8" t="n"/>
      <c r="AC393" s="8" t="n"/>
      <c r="AD393" s="8" t="n"/>
      <c r="AE393" s="8" t="n"/>
      <c r="AF393" s="8" t="n"/>
      <c r="AG393" s="8" t="n"/>
      <c r="AH393" s="8" t="n"/>
      <c r="AI393" s="8" t="n"/>
      <c r="AJ393" s="8" t="n"/>
      <c r="AK393" s="8" t="n"/>
      <c r="AL393" s="8" t="n"/>
      <c r="AM393" s="8" t="n"/>
      <c r="AN393" s="8" t="n"/>
      <c r="AO393" s="8" t="n"/>
      <c r="AP393" s="8" t="n"/>
      <c r="AQ393" s="8" t="n"/>
      <c r="AR393" s="8" t="n"/>
      <c r="AS393" s="8" t="n"/>
      <c r="AT393" s="8" t="n"/>
      <c r="AU393" s="8" t="n"/>
      <c r="AV393" s="8" t="n"/>
      <c r="AW393" s="8" t="n"/>
      <c r="AX393" s="8" t="n"/>
      <c r="AY393" s="8" t="n"/>
      <c r="AZ393" s="8" t="n"/>
    </row>
    <row r="394" customFormat="1" s="12">
      <c r="D394" s="13" t="n"/>
      <c r="E394" s="8" t="n"/>
      <c r="F394" s="8" t="n"/>
      <c r="G394" s="8" t="n"/>
      <c r="H394" s="8" t="n"/>
      <c r="I394" s="8" t="n"/>
      <c r="J394" s="8" t="n"/>
      <c r="K394" s="8" t="n"/>
      <c r="L394" s="8" t="n"/>
      <c r="M394" s="8" t="n"/>
      <c r="N394" s="8" t="n"/>
      <c r="O394" s="8" t="n"/>
      <c r="P394" s="8" t="n"/>
      <c r="Q394" s="8" t="n"/>
      <c r="R394" s="8" t="n"/>
      <c r="S394" s="8" t="n"/>
      <c r="T394" s="8" t="n"/>
      <c r="U394" s="8" t="n"/>
      <c r="V394" s="8" t="n"/>
      <c r="W394" s="8" t="n"/>
      <c r="X394" s="8" t="n"/>
      <c r="Y394" s="8" t="n"/>
      <c r="Z394" s="8" t="n"/>
      <c r="AA394" s="8" t="n"/>
      <c r="AB394" s="8" t="n"/>
      <c r="AC394" s="8" t="n"/>
      <c r="AD394" s="8" t="n"/>
      <c r="AE394" s="8" t="n"/>
      <c r="AF394" s="8" t="n"/>
      <c r="AG394" s="8" t="n"/>
      <c r="AH394" s="8" t="n"/>
      <c r="AI394" s="8" t="n"/>
      <c r="AJ394" s="8" t="n"/>
      <c r="AK394" s="8" t="n"/>
      <c r="AL394" s="8" t="n"/>
      <c r="AM394" s="8" t="n"/>
      <c r="AN394" s="8" t="n"/>
      <c r="AO394" s="8" t="n"/>
      <c r="AP394" s="8" t="n"/>
      <c r="AQ394" s="8" t="n"/>
      <c r="AR394" s="8" t="n"/>
      <c r="AS394" s="8" t="n"/>
      <c r="AT394" s="8" t="n"/>
      <c r="AU394" s="8" t="n"/>
      <c r="AV394" s="8" t="n"/>
      <c r="AW394" s="8" t="n"/>
      <c r="AX394" s="8" t="n"/>
      <c r="AY394" s="8" t="n"/>
      <c r="AZ394" s="8" t="n"/>
    </row>
    <row r="395" customFormat="1" s="12">
      <c r="D395" s="13" t="n"/>
      <c r="E395" s="8" t="n"/>
      <c r="F395" s="8" t="n"/>
      <c r="G395" s="8" t="n"/>
      <c r="H395" s="8" t="n"/>
      <c r="I395" s="8" t="n"/>
      <c r="J395" s="8" t="n"/>
      <c r="K395" s="8" t="n"/>
      <c r="L395" s="8" t="n"/>
      <c r="M395" s="8" t="n"/>
      <c r="N395" s="8" t="n"/>
      <c r="O395" s="8" t="n"/>
      <c r="P395" s="8" t="n"/>
      <c r="Q395" s="8" t="n"/>
      <c r="R395" s="8" t="n"/>
      <c r="S395" s="8" t="n"/>
      <c r="T395" s="8" t="n"/>
      <c r="U395" s="8" t="n"/>
      <c r="V395" s="8" t="n"/>
      <c r="W395" s="8" t="n"/>
      <c r="X395" s="8" t="n"/>
      <c r="Y395" s="8" t="n"/>
      <c r="Z395" s="8" t="n"/>
      <c r="AA395" s="8" t="n"/>
      <c r="AB395" s="8" t="n"/>
      <c r="AC395" s="8" t="n"/>
      <c r="AD395" s="8" t="n"/>
      <c r="AE395" s="8" t="n"/>
      <c r="AF395" s="8" t="n"/>
      <c r="AG395" s="8" t="n"/>
      <c r="AH395" s="8" t="n"/>
      <c r="AI395" s="8" t="n"/>
      <c r="AJ395" s="8" t="n"/>
      <c r="AK395" s="8" t="n"/>
      <c r="AL395" s="8" t="n"/>
      <c r="AM395" s="8" t="n"/>
      <c r="AN395" s="8" t="n"/>
      <c r="AO395" s="8" t="n"/>
      <c r="AP395" s="8" t="n"/>
      <c r="AQ395" s="8" t="n"/>
      <c r="AR395" s="8" t="n"/>
      <c r="AS395" s="8" t="n"/>
      <c r="AT395" s="8" t="n"/>
      <c r="AU395" s="8" t="n"/>
      <c r="AV395" s="8" t="n"/>
      <c r="AW395" s="8" t="n"/>
      <c r="AX395" s="8" t="n"/>
      <c r="AY395" s="8" t="n"/>
      <c r="AZ395" s="8" t="n"/>
    </row>
    <row r="396" customFormat="1" s="12">
      <c r="D396" s="13" t="n"/>
      <c r="E396" s="8" t="n"/>
      <c r="F396" s="8" t="n"/>
      <c r="G396" s="8" t="n"/>
      <c r="H396" s="8" t="n"/>
      <c r="I396" s="8" t="n"/>
      <c r="J396" s="8" t="n"/>
      <c r="K396" s="8" t="n"/>
      <c r="L396" s="8" t="n"/>
      <c r="M396" s="8" t="n"/>
      <c r="N396" s="8" t="n"/>
      <c r="O396" s="8" t="n"/>
      <c r="P396" s="8" t="n"/>
      <c r="Q396" s="8" t="n"/>
      <c r="R396" s="8" t="n"/>
      <c r="S396" s="8" t="n"/>
      <c r="T396" s="8" t="n"/>
      <c r="U396" s="8" t="n"/>
      <c r="V396" s="8" t="n"/>
      <c r="W396" s="8" t="n"/>
      <c r="X396" s="8" t="n"/>
      <c r="Y396" s="8" t="n"/>
      <c r="Z396" s="8" t="n"/>
      <c r="AA396" s="8" t="n"/>
      <c r="AB396" s="8" t="n"/>
      <c r="AC396" s="8" t="n"/>
      <c r="AD396" s="8" t="n"/>
      <c r="AE396" s="8" t="n"/>
      <c r="AF396" s="8" t="n"/>
      <c r="AG396" s="8" t="n"/>
      <c r="AH396" s="8" t="n"/>
      <c r="AI396" s="8" t="n"/>
      <c r="AJ396" s="8" t="n"/>
      <c r="AK396" s="8" t="n"/>
      <c r="AL396" s="8" t="n"/>
      <c r="AM396" s="8" t="n"/>
      <c r="AN396" s="8" t="n"/>
      <c r="AO396" s="8" t="n"/>
      <c r="AP396" s="8" t="n"/>
      <c r="AQ396" s="8" t="n"/>
      <c r="AR396" s="8" t="n"/>
      <c r="AS396" s="8" t="n"/>
      <c r="AT396" s="8" t="n"/>
      <c r="AU396" s="8" t="n"/>
      <c r="AV396" s="8" t="n"/>
      <c r="AW396" s="8" t="n"/>
      <c r="AX396" s="8" t="n"/>
      <c r="AY396" s="8" t="n"/>
      <c r="AZ396" s="8" t="n"/>
    </row>
    <row r="397" customFormat="1" s="12">
      <c r="D397" s="13" t="n"/>
      <c r="E397" s="8" t="n"/>
      <c r="F397" s="8" t="n"/>
      <c r="G397" s="8" t="n"/>
      <c r="H397" s="8" t="n"/>
      <c r="I397" s="8" t="n"/>
      <c r="J397" s="8" t="n"/>
      <c r="K397" s="8" t="n"/>
      <c r="L397" s="8" t="n"/>
      <c r="M397" s="8" t="n"/>
      <c r="N397" s="8" t="n"/>
      <c r="O397" s="8" t="n"/>
      <c r="P397" s="8" t="n"/>
      <c r="Q397" s="8" t="n"/>
      <c r="R397" s="8" t="n"/>
      <c r="S397" s="8" t="n"/>
      <c r="T397" s="8" t="n"/>
      <c r="U397" s="8" t="n"/>
      <c r="V397" s="8" t="n"/>
      <c r="W397" s="8" t="n"/>
      <c r="X397" s="8" t="n"/>
      <c r="Y397" s="8" t="n"/>
      <c r="Z397" s="8" t="n"/>
      <c r="AA397" s="8" t="n"/>
      <c r="AB397" s="8" t="n"/>
      <c r="AC397" s="8" t="n"/>
      <c r="AD397" s="8" t="n"/>
      <c r="AE397" s="8" t="n"/>
      <c r="AF397" s="8" t="n"/>
      <c r="AG397" s="8" t="n"/>
      <c r="AH397" s="8" t="n"/>
      <c r="AI397" s="8" t="n"/>
      <c r="AJ397" s="8" t="n"/>
      <c r="AK397" s="8" t="n"/>
      <c r="AL397" s="8" t="n"/>
      <c r="AM397" s="8" t="n"/>
      <c r="AN397" s="8" t="n"/>
      <c r="AO397" s="8" t="n"/>
      <c r="AP397" s="8" t="n"/>
      <c r="AQ397" s="8" t="n"/>
      <c r="AR397" s="8" t="n"/>
      <c r="AS397" s="8" t="n"/>
      <c r="AT397" s="8" t="n"/>
      <c r="AU397" s="8" t="n"/>
      <c r="AV397" s="8" t="n"/>
      <c r="AW397" s="8" t="n"/>
      <c r="AX397" s="8" t="n"/>
      <c r="AY397" s="8" t="n"/>
      <c r="AZ397" s="8" t="n"/>
    </row>
    <row r="398" customFormat="1" s="12">
      <c r="D398" s="13" t="n"/>
      <c r="E398" s="8" t="n"/>
      <c r="F398" s="8" t="n"/>
      <c r="G398" s="8" t="n"/>
      <c r="H398" s="8" t="n"/>
      <c r="I398" s="8" t="n"/>
      <c r="J398" s="8" t="n"/>
      <c r="K398" s="8" t="n"/>
      <c r="L398" s="8" t="n"/>
      <c r="M398" s="8" t="n"/>
      <c r="N398" s="8" t="n"/>
      <c r="O398" s="8" t="n"/>
      <c r="P398" s="8" t="n"/>
      <c r="Q398" s="8" t="n"/>
      <c r="R398" s="8" t="n"/>
      <c r="S398" s="8" t="n"/>
      <c r="T398" s="8" t="n"/>
      <c r="U398" s="8" t="n"/>
      <c r="V398" s="8" t="n"/>
      <c r="W398" s="8" t="n"/>
      <c r="X398" s="8" t="n"/>
      <c r="Y398" s="8" t="n"/>
      <c r="Z398" s="8" t="n"/>
      <c r="AA398" s="8" t="n"/>
      <c r="AB398" s="8" t="n"/>
      <c r="AC398" s="8" t="n"/>
      <c r="AD398" s="8" t="n"/>
      <c r="AE398" s="8" t="n"/>
      <c r="AF398" s="8" t="n"/>
      <c r="AG398" s="8" t="n"/>
      <c r="AH398" s="8" t="n"/>
      <c r="AI398" s="8" t="n"/>
      <c r="AJ398" s="8" t="n"/>
      <c r="AK398" s="8" t="n"/>
      <c r="AL398" s="8" t="n"/>
      <c r="AM398" s="8" t="n"/>
      <c r="AN398" s="8" t="n"/>
      <c r="AO398" s="8" t="n"/>
      <c r="AP398" s="8" t="n"/>
      <c r="AQ398" s="8" t="n"/>
      <c r="AR398" s="8" t="n"/>
      <c r="AS398" s="8" t="n"/>
      <c r="AT398" s="8" t="n"/>
      <c r="AU398" s="8" t="n"/>
      <c r="AV398" s="8" t="n"/>
      <c r="AW398" s="8" t="n"/>
      <c r="AX398" s="8" t="n"/>
      <c r="AY398" s="8" t="n"/>
      <c r="AZ398" s="8" t="n"/>
    </row>
    <row r="399" customFormat="1" s="12">
      <c r="D399" s="13" t="n"/>
      <c r="E399" s="8" t="n"/>
      <c r="F399" s="8" t="n"/>
      <c r="G399" s="8" t="n"/>
      <c r="H399" s="8" t="n"/>
      <c r="I399" s="8" t="n"/>
      <c r="J399" s="8" t="n"/>
      <c r="K399" s="8" t="n"/>
      <c r="L399" s="8" t="n"/>
      <c r="M399" s="8" t="n"/>
      <c r="N399" s="8" t="n"/>
      <c r="O399" s="8" t="n"/>
      <c r="P399" s="8" t="n"/>
      <c r="Q399" s="8" t="n"/>
      <c r="R399" s="8" t="n"/>
      <c r="S399" s="8" t="n"/>
      <c r="T399" s="8" t="n"/>
      <c r="U399" s="8" t="n"/>
      <c r="V399" s="8" t="n"/>
      <c r="W399" s="8" t="n"/>
      <c r="X399" s="8" t="n"/>
      <c r="Y399" s="8" t="n"/>
      <c r="Z399" s="8" t="n"/>
      <c r="AA399" s="8" t="n"/>
      <c r="AB399" s="8" t="n"/>
      <c r="AC399" s="8" t="n"/>
      <c r="AD399" s="8" t="n"/>
      <c r="AE399" s="8" t="n"/>
      <c r="AF399" s="8" t="n"/>
      <c r="AG399" s="8" t="n"/>
      <c r="AH399" s="8" t="n"/>
      <c r="AI399" s="8" t="n"/>
      <c r="AJ399" s="8" t="n"/>
      <c r="AK399" s="8" t="n"/>
      <c r="AL399" s="8" t="n"/>
      <c r="AM399" s="8" t="n"/>
      <c r="AN399" s="8" t="n"/>
      <c r="AO399" s="8" t="n"/>
      <c r="AP399" s="8" t="n"/>
      <c r="AQ399" s="8" t="n"/>
      <c r="AR399" s="8" t="n"/>
      <c r="AS399" s="8" t="n"/>
      <c r="AT399" s="8" t="n"/>
      <c r="AU399" s="8" t="n"/>
      <c r="AV399" s="8" t="n"/>
      <c r="AW399" s="8" t="n"/>
      <c r="AX399" s="8" t="n"/>
      <c r="AY399" s="8" t="n"/>
      <c r="AZ399" s="8" t="n"/>
    </row>
    <row r="400" customFormat="1" s="12">
      <c r="D400" s="13" t="n"/>
      <c r="E400" s="8" t="n"/>
      <c r="F400" s="8" t="n"/>
      <c r="G400" s="8" t="n"/>
      <c r="H400" s="8" t="n"/>
      <c r="I400" s="8" t="n"/>
      <c r="J400" s="8" t="n"/>
      <c r="K400" s="8" t="n"/>
      <c r="L400" s="8" t="n"/>
      <c r="M400" s="8" t="n"/>
      <c r="N400" s="8" t="n"/>
      <c r="O400" s="8" t="n"/>
      <c r="P400" s="8" t="n"/>
      <c r="Q400" s="8" t="n"/>
      <c r="R400" s="8" t="n"/>
      <c r="S400" s="8" t="n"/>
      <c r="T400" s="8" t="n"/>
      <c r="U400" s="8" t="n"/>
      <c r="V400" s="8" t="n"/>
      <c r="W400" s="8" t="n"/>
      <c r="X400" s="8" t="n"/>
      <c r="Y400" s="8" t="n"/>
      <c r="Z400" s="8" t="n"/>
      <c r="AA400" s="8" t="n"/>
      <c r="AB400" s="8" t="n"/>
      <c r="AC400" s="8" t="n"/>
      <c r="AD400" s="8" t="n"/>
      <c r="AE400" s="8" t="n"/>
      <c r="AF400" s="8" t="n"/>
      <c r="AG400" s="8" t="n"/>
      <c r="AH400" s="8" t="n"/>
      <c r="AI400" s="8" t="n"/>
      <c r="AJ400" s="8" t="n"/>
      <c r="AK400" s="8" t="n"/>
      <c r="AL400" s="8" t="n"/>
      <c r="AM400" s="8" t="n"/>
      <c r="AN400" s="8" t="n"/>
      <c r="AO400" s="8" t="n"/>
      <c r="AP400" s="8" t="n"/>
      <c r="AQ400" s="8" t="n"/>
      <c r="AR400" s="8" t="n"/>
      <c r="AS400" s="8" t="n"/>
      <c r="AT400" s="8" t="n"/>
      <c r="AU400" s="8" t="n"/>
      <c r="AV400" s="8" t="n"/>
      <c r="AW400" s="8" t="n"/>
      <c r="AX400" s="8" t="n"/>
      <c r="AY400" s="8" t="n"/>
      <c r="AZ400" s="8" t="n"/>
    </row>
    <row r="401" customFormat="1" s="12">
      <c r="D401" s="13" t="n"/>
      <c r="E401" s="8" t="n"/>
      <c r="F401" s="8" t="n"/>
      <c r="G401" s="8" t="n"/>
      <c r="H401" s="8" t="n"/>
      <c r="I401" s="8" t="n"/>
      <c r="J401" s="8" t="n"/>
      <c r="K401" s="8" t="n"/>
      <c r="L401" s="8" t="n"/>
      <c r="M401" s="8" t="n"/>
      <c r="N401" s="8" t="n"/>
      <c r="O401" s="8" t="n"/>
      <c r="P401" s="8" t="n"/>
      <c r="Q401" s="8" t="n"/>
      <c r="R401" s="8" t="n"/>
      <c r="S401" s="8" t="n"/>
      <c r="T401" s="8" t="n"/>
      <c r="U401" s="8" t="n"/>
      <c r="V401" s="8" t="n"/>
      <c r="W401" s="8" t="n"/>
      <c r="X401" s="8" t="n"/>
      <c r="Y401" s="8" t="n"/>
      <c r="Z401" s="8" t="n"/>
      <c r="AA401" s="8" t="n"/>
      <c r="AB401" s="8" t="n"/>
      <c r="AC401" s="8" t="n"/>
      <c r="AD401" s="8" t="n"/>
      <c r="AE401" s="8" t="n"/>
      <c r="AF401" s="8" t="n"/>
      <c r="AG401" s="8" t="n"/>
      <c r="AH401" s="8" t="n"/>
      <c r="AI401" s="8" t="n"/>
      <c r="AJ401" s="8" t="n"/>
      <c r="AK401" s="8" t="n"/>
      <c r="AL401" s="8" t="n"/>
      <c r="AM401" s="8" t="n"/>
      <c r="AN401" s="8" t="n"/>
      <c r="AO401" s="8" t="n"/>
      <c r="AP401" s="8" t="n"/>
      <c r="AQ401" s="8" t="n"/>
      <c r="AR401" s="8" t="n"/>
      <c r="AS401" s="8" t="n"/>
      <c r="AT401" s="8" t="n"/>
      <c r="AU401" s="8" t="n"/>
      <c r="AV401" s="8" t="n"/>
      <c r="AW401" s="8" t="n"/>
      <c r="AX401" s="8" t="n"/>
      <c r="AY401" s="8" t="n"/>
      <c r="AZ401" s="8" t="n"/>
    </row>
    <row r="402" customFormat="1" s="12">
      <c r="D402" s="13" t="n"/>
      <c r="E402" s="8" t="n"/>
      <c r="F402" s="8" t="n"/>
      <c r="G402" s="8" t="n"/>
      <c r="H402" s="8" t="n"/>
      <c r="I402" s="8" t="n"/>
      <c r="J402" s="8" t="n"/>
      <c r="K402" s="8" t="n"/>
      <c r="L402" s="8" t="n"/>
      <c r="M402" s="8" t="n"/>
      <c r="N402" s="8" t="n"/>
      <c r="O402" s="8" t="n"/>
      <c r="P402" s="8" t="n"/>
      <c r="Q402" s="8" t="n"/>
      <c r="R402" s="8" t="n"/>
      <c r="S402" s="8" t="n"/>
      <c r="T402" s="8" t="n"/>
      <c r="U402" s="8" t="n"/>
      <c r="V402" s="8" t="n"/>
      <c r="W402" s="8" t="n"/>
      <c r="X402" s="8" t="n"/>
      <c r="Y402" s="8" t="n"/>
      <c r="Z402" s="8" t="n"/>
      <c r="AA402" s="8" t="n"/>
      <c r="AB402" s="8" t="n"/>
      <c r="AC402" s="8" t="n"/>
      <c r="AD402" s="8" t="n"/>
      <c r="AE402" s="8" t="n"/>
      <c r="AF402" s="8" t="n"/>
      <c r="AG402" s="8" t="n"/>
      <c r="AH402" s="8" t="n"/>
      <c r="AI402" s="8" t="n"/>
      <c r="AJ402" s="8" t="n"/>
      <c r="AK402" s="8" t="n"/>
      <c r="AL402" s="8" t="n"/>
      <c r="AM402" s="8" t="n"/>
      <c r="AN402" s="8" t="n"/>
      <c r="AO402" s="8" t="n"/>
      <c r="AP402" s="8" t="n"/>
      <c r="AQ402" s="8" t="n"/>
      <c r="AR402" s="8" t="n"/>
      <c r="AS402" s="8" t="n"/>
      <c r="AT402" s="8" t="n"/>
      <c r="AU402" s="8" t="n"/>
      <c r="AV402" s="8" t="n"/>
      <c r="AW402" s="8" t="n"/>
      <c r="AX402" s="8" t="n"/>
      <c r="AY402" s="8" t="n"/>
      <c r="AZ402" s="8" t="n"/>
    </row>
    <row r="403" customFormat="1" s="12">
      <c r="D403" s="13" t="n"/>
      <c r="E403" s="8" t="n"/>
      <c r="F403" s="8" t="n"/>
      <c r="G403" s="8" t="n"/>
      <c r="H403" s="8" t="n"/>
      <c r="I403" s="8" t="n"/>
      <c r="J403" s="8" t="n"/>
      <c r="K403" s="8" t="n"/>
      <c r="L403" s="8" t="n"/>
      <c r="M403" s="8" t="n"/>
      <c r="N403" s="8" t="n"/>
      <c r="O403" s="8" t="n"/>
      <c r="P403" s="8" t="n"/>
      <c r="Q403" s="8" t="n"/>
      <c r="R403" s="8" t="n"/>
      <c r="S403" s="8" t="n"/>
      <c r="T403" s="8" t="n"/>
      <c r="U403" s="8" t="n"/>
      <c r="V403" s="8" t="n"/>
      <c r="W403" s="8" t="n"/>
      <c r="X403" s="8" t="n"/>
      <c r="Y403" s="8" t="n"/>
      <c r="Z403" s="8" t="n"/>
      <c r="AA403" s="8" t="n"/>
      <c r="AB403" s="8" t="n"/>
      <c r="AC403" s="8" t="n"/>
      <c r="AD403" s="8" t="n"/>
      <c r="AE403" s="8" t="n"/>
      <c r="AF403" s="8" t="n"/>
      <c r="AG403" s="8" t="n"/>
      <c r="AH403" s="8" t="n"/>
      <c r="AI403" s="8" t="n"/>
      <c r="AJ403" s="8" t="n"/>
      <c r="AK403" s="8" t="n"/>
      <c r="AL403" s="8" t="n"/>
      <c r="AM403" s="8" t="n"/>
      <c r="AN403" s="8" t="n"/>
      <c r="AO403" s="8" t="n"/>
      <c r="AP403" s="8" t="n"/>
      <c r="AQ403" s="8" t="n"/>
      <c r="AR403" s="8" t="n"/>
      <c r="AS403" s="8" t="n"/>
      <c r="AT403" s="8" t="n"/>
      <c r="AU403" s="8" t="n"/>
      <c r="AV403" s="8" t="n"/>
      <c r="AW403" s="8" t="n"/>
      <c r="AX403" s="8" t="n"/>
      <c r="AY403" s="8" t="n"/>
      <c r="AZ403" s="8" t="n"/>
    </row>
    <row r="404" customFormat="1" s="12">
      <c r="D404" s="13" t="n"/>
      <c r="E404" s="8" t="n"/>
      <c r="F404" s="8" t="n"/>
      <c r="G404" s="8" t="n"/>
      <c r="H404" s="8" t="n"/>
      <c r="I404" s="8" t="n"/>
      <c r="J404" s="8" t="n"/>
      <c r="K404" s="8" t="n"/>
      <c r="L404" s="8" t="n"/>
      <c r="M404" s="8" t="n"/>
      <c r="N404" s="8" t="n"/>
      <c r="O404" s="8" t="n"/>
      <c r="P404" s="8" t="n"/>
      <c r="Q404" s="8" t="n"/>
      <c r="R404" s="8" t="n"/>
      <c r="S404" s="8" t="n"/>
      <c r="T404" s="8" t="n"/>
      <c r="U404" s="8" t="n"/>
      <c r="V404" s="8" t="n"/>
      <c r="W404" s="8" t="n"/>
      <c r="X404" s="8" t="n"/>
      <c r="Y404" s="8" t="n"/>
      <c r="Z404" s="8" t="n"/>
      <c r="AA404" s="8" t="n"/>
      <c r="AB404" s="8" t="n"/>
      <c r="AC404" s="8" t="n"/>
      <c r="AD404" s="8" t="n"/>
      <c r="AE404" s="8" t="n"/>
      <c r="AF404" s="8" t="n"/>
      <c r="AG404" s="8" t="n"/>
      <c r="AH404" s="8" t="n"/>
      <c r="AI404" s="8" t="n"/>
      <c r="AJ404" s="8" t="n"/>
      <c r="AK404" s="8" t="n"/>
      <c r="AL404" s="8" t="n"/>
      <c r="AM404" s="8" t="n"/>
      <c r="AN404" s="8" t="n"/>
      <c r="AO404" s="8" t="n"/>
      <c r="AP404" s="8" t="n"/>
      <c r="AQ404" s="8" t="n"/>
      <c r="AR404" s="8" t="n"/>
      <c r="AS404" s="8" t="n"/>
      <c r="AT404" s="8" t="n"/>
      <c r="AU404" s="8" t="n"/>
      <c r="AV404" s="8" t="n"/>
      <c r="AW404" s="8" t="n"/>
      <c r="AX404" s="8" t="n"/>
      <c r="AY404" s="8" t="n"/>
      <c r="AZ404" s="8" t="n"/>
    </row>
    <row r="405" customFormat="1" s="12">
      <c r="D405" s="13" t="n"/>
      <c r="E405" s="8" t="n"/>
      <c r="F405" s="8" t="n"/>
      <c r="G405" s="8" t="n"/>
      <c r="H405" s="8" t="n"/>
      <c r="I405" s="8" t="n"/>
      <c r="J405" s="8" t="n"/>
      <c r="K405" s="8" t="n"/>
      <c r="L405" s="8" t="n"/>
      <c r="M405" s="8" t="n"/>
      <c r="N405" s="8" t="n"/>
      <c r="O405" s="8" t="n"/>
      <c r="P405" s="8" t="n"/>
      <c r="Q405" s="8" t="n"/>
      <c r="R405" s="8" t="n"/>
      <c r="S405" s="8" t="n"/>
      <c r="T405" s="8" t="n"/>
      <c r="U405" s="8" t="n"/>
      <c r="V405" s="8" t="n"/>
      <c r="W405" s="8" t="n"/>
      <c r="X405" s="8" t="n"/>
      <c r="Y405" s="8" t="n"/>
      <c r="Z405" s="8" t="n"/>
      <c r="AA405" s="8" t="n"/>
      <c r="AB405" s="8" t="n"/>
      <c r="AC405" s="8" t="n"/>
      <c r="AD405" s="8" t="n"/>
      <c r="AE405" s="8" t="n"/>
      <c r="AF405" s="8" t="n"/>
      <c r="AG405" s="8" t="n"/>
      <c r="AH405" s="8" t="n"/>
      <c r="AI405" s="8" t="n"/>
      <c r="AJ405" s="8" t="n"/>
      <c r="AK405" s="8" t="n"/>
      <c r="AL405" s="8" t="n"/>
      <c r="AM405" s="8" t="n"/>
      <c r="AN405" s="8" t="n"/>
      <c r="AO405" s="8" t="n"/>
      <c r="AP405" s="8" t="n"/>
      <c r="AQ405" s="8" t="n"/>
      <c r="AR405" s="8" t="n"/>
      <c r="AS405" s="8" t="n"/>
      <c r="AT405" s="8" t="n"/>
      <c r="AU405" s="8" t="n"/>
      <c r="AV405" s="8" t="n"/>
      <c r="AW405" s="8" t="n"/>
      <c r="AX405" s="8" t="n"/>
      <c r="AY405" s="8" t="n"/>
      <c r="AZ405" s="8" t="n"/>
    </row>
    <row r="406" customFormat="1" s="12">
      <c r="D406" s="13" t="n"/>
      <c r="E406" s="8" t="n"/>
      <c r="F406" s="8" t="n"/>
      <c r="G406" s="8" t="n"/>
      <c r="H406" s="8" t="n"/>
      <c r="I406" s="8" t="n"/>
      <c r="J406" s="8" t="n"/>
      <c r="K406" s="8" t="n"/>
      <c r="L406" s="8" t="n"/>
      <c r="M406" s="8" t="n"/>
      <c r="N406" s="8" t="n"/>
      <c r="O406" s="8" t="n"/>
      <c r="P406" s="8" t="n"/>
      <c r="Q406" s="8" t="n"/>
      <c r="R406" s="8" t="n"/>
      <c r="S406" s="8" t="n"/>
      <c r="T406" s="8" t="n"/>
      <c r="U406" s="8" t="n"/>
      <c r="V406" s="8" t="n"/>
      <c r="W406" s="8" t="n"/>
      <c r="X406" s="8" t="n"/>
      <c r="Y406" s="8" t="n"/>
      <c r="Z406" s="8" t="n"/>
      <c r="AA406" s="8" t="n"/>
      <c r="AB406" s="8" t="n"/>
      <c r="AC406" s="8" t="n"/>
      <c r="AD406" s="8" t="n"/>
      <c r="AE406" s="8" t="n"/>
      <c r="AF406" s="8" t="n"/>
      <c r="AG406" s="8" t="n"/>
      <c r="AH406" s="8" t="n"/>
      <c r="AI406" s="8" t="n"/>
      <c r="AJ406" s="8" t="n"/>
      <c r="AK406" s="8" t="n"/>
      <c r="AL406" s="8" t="n"/>
      <c r="AM406" s="8" t="n"/>
      <c r="AN406" s="8" t="n"/>
      <c r="AO406" s="8" t="n"/>
      <c r="AP406" s="8" t="n"/>
      <c r="AQ406" s="8" t="n"/>
      <c r="AR406" s="8" t="n"/>
      <c r="AS406" s="8" t="n"/>
      <c r="AT406" s="8" t="n"/>
      <c r="AU406" s="8" t="n"/>
      <c r="AV406" s="8" t="n"/>
      <c r="AW406" s="8" t="n"/>
      <c r="AX406" s="8" t="n"/>
      <c r="AY406" s="8" t="n"/>
      <c r="AZ406" s="8" t="n"/>
    </row>
    <row r="407" customFormat="1" s="12">
      <c r="D407" s="13" t="n"/>
      <c r="E407" s="8" t="n"/>
      <c r="F407" s="8" t="n"/>
      <c r="G407" s="8" t="n"/>
      <c r="H407" s="8" t="n"/>
      <c r="I407" s="8" t="n"/>
      <c r="J407" s="8" t="n"/>
      <c r="K407" s="8" t="n"/>
      <c r="L407" s="8" t="n"/>
      <c r="M407" s="8" t="n"/>
      <c r="N407" s="8" t="n"/>
      <c r="O407" s="8" t="n"/>
      <c r="P407" s="8" t="n"/>
      <c r="Q407" s="8" t="n"/>
      <c r="R407" s="8" t="n"/>
      <c r="S407" s="8" t="n"/>
      <c r="T407" s="8" t="n"/>
      <c r="U407" s="8" t="n"/>
      <c r="V407" s="8" t="n"/>
      <c r="W407" s="8" t="n"/>
      <c r="X407" s="8" t="n"/>
      <c r="Y407" s="8" t="n"/>
      <c r="Z407" s="8" t="n"/>
      <c r="AA407" s="8" t="n"/>
      <c r="AB407" s="8" t="n"/>
      <c r="AC407" s="8" t="n"/>
      <c r="AD407" s="8" t="n"/>
      <c r="AE407" s="8" t="n"/>
      <c r="AF407" s="8" t="n"/>
      <c r="AG407" s="8" t="n"/>
      <c r="AH407" s="8" t="n"/>
      <c r="AI407" s="8" t="n"/>
      <c r="AJ407" s="8" t="n"/>
      <c r="AK407" s="8" t="n"/>
      <c r="AL407" s="8" t="n"/>
      <c r="AM407" s="8" t="n"/>
      <c r="AN407" s="8" t="n"/>
      <c r="AO407" s="8" t="n"/>
      <c r="AP407" s="8" t="n"/>
      <c r="AQ407" s="8" t="n"/>
      <c r="AR407" s="8" t="n"/>
      <c r="AS407" s="8" t="n"/>
      <c r="AT407" s="8" t="n"/>
      <c r="AU407" s="8" t="n"/>
      <c r="AV407" s="8" t="n"/>
      <c r="AW407" s="8" t="n"/>
      <c r="AX407" s="8" t="n"/>
      <c r="AY407" s="8" t="n"/>
      <c r="AZ407" s="8" t="n"/>
    </row>
    <row r="408" customFormat="1" s="12">
      <c r="D408" s="13" t="n"/>
      <c r="E408" s="8" t="n"/>
      <c r="F408" s="8" t="n"/>
      <c r="G408" s="8" t="n"/>
      <c r="H408" s="8" t="n"/>
      <c r="I408" s="8" t="n"/>
      <c r="J408" s="8" t="n"/>
      <c r="K408" s="8" t="n"/>
      <c r="L408" s="8" t="n"/>
      <c r="M408" s="8" t="n"/>
      <c r="N408" s="8" t="n"/>
      <c r="O408" s="8" t="n"/>
      <c r="P408" s="8" t="n"/>
      <c r="Q408" s="8" t="n"/>
      <c r="R408" s="8" t="n"/>
      <c r="S408" s="8" t="n"/>
      <c r="T408" s="8" t="n"/>
      <c r="U408" s="8" t="n"/>
      <c r="V408" s="8" t="n"/>
      <c r="W408" s="8" t="n"/>
      <c r="X408" s="8" t="n"/>
      <c r="Y408" s="8" t="n"/>
      <c r="Z408" s="8" t="n"/>
      <c r="AA408" s="8" t="n"/>
      <c r="AB408" s="8" t="n"/>
      <c r="AC408" s="8" t="n"/>
      <c r="AD408" s="8" t="n"/>
      <c r="AE408" s="8" t="n"/>
      <c r="AF408" s="8" t="n"/>
      <c r="AG408" s="8" t="n"/>
      <c r="AH408" s="8" t="n"/>
      <c r="AI408" s="8" t="n"/>
      <c r="AJ408" s="8" t="n"/>
      <c r="AK408" s="8" t="n"/>
      <c r="AL408" s="8" t="n"/>
      <c r="AM408" s="8" t="n"/>
      <c r="AN408" s="8" t="n"/>
      <c r="AO408" s="8" t="n"/>
      <c r="AP408" s="8" t="n"/>
      <c r="AQ408" s="8" t="n"/>
      <c r="AR408" s="8" t="n"/>
      <c r="AS408" s="8" t="n"/>
      <c r="AT408" s="8" t="n"/>
      <c r="AU408" s="8" t="n"/>
      <c r="AV408" s="8" t="n"/>
      <c r="AW408" s="8" t="n"/>
      <c r="AX408" s="8" t="n"/>
      <c r="AY408" s="8" t="n"/>
      <c r="AZ408" s="8" t="n"/>
    </row>
    <row r="409" customFormat="1" s="12">
      <c r="D409" s="13" t="n"/>
      <c r="E409" s="8" t="n"/>
      <c r="F409" s="8" t="n"/>
      <c r="G409" s="8" t="n"/>
      <c r="H409" s="8" t="n"/>
      <c r="I409" s="8" t="n"/>
      <c r="J409" s="8" t="n"/>
      <c r="K409" s="8" t="n"/>
      <c r="L409" s="8" t="n"/>
      <c r="M409" s="8" t="n"/>
      <c r="N409" s="8" t="n"/>
      <c r="O409" s="8" t="n"/>
      <c r="P409" s="8" t="n"/>
      <c r="Q409" s="8" t="n"/>
      <c r="R409" s="8" t="n"/>
      <c r="S409" s="8" t="n"/>
      <c r="T409" s="8" t="n"/>
      <c r="U409" s="8" t="n"/>
      <c r="V409" s="8" t="n"/>
      <c r="W409" s="8" t="n"/>
      <c r="X409" s="8" t="n"/>
      <c r="Y409" s="8" t="n"/>
      <c r="Z409" s="8" t="n"/>
      <c r="AA409" s="8" t="n"/>
      <c r="AB409" s="8" t="n"/>
      <c r="AC409" s="8" t="n"/>
      <c r="AD409" s="8" t="n"/>
      <c r="AE409" s="8" t="n"/>
      <c r="AF409" s="8" t="n"/>
      <c r="AG409" s="8" t="n"/>
      <c r="AH409" s="8" t="n"/>
      <c r="AI409" s="8" t="n"/>
      <c r="AJ409" s="8" t="n"/>
      <c r="AK409" s="8" t="n"/>
      <c r="AL409" s="8" t="n"/>
      <c r="AM409" s="8" t="n"/>
      <c r="AN409" s="8" t="n"/>
      <c r="AO409" s="8" t="n"/>
      <c r="AP409" s="8" t="n"/>
      <c r="AQ409" s="8" t="n"/>
      <c r="AR409" s="8" t="n"/>
      <c r="AS409" s="8" t="n"/>
      <c r="AT409" s="8" t="n"/>
      <c r="AU409" s="8" t="n"/>
      <c r="AV409" s="8" t="n"/>
      <c r="AW409" s="8" t="n"/>
      <c r="AX409" s="8" t="n"/>
      <c r="AY409" s="8" t="n"/>
      <c r="AZ409" s="8" t="n"/>
    </row>
    <row r="410" customFormat="1" s="12">
      <c r="D410" s="13" t="n"/>
      <c r="E410" s="8" t="n"/>
      <c r="F410" s="8" t="n"/>
      <c r="G410" s="8" t="n"/>
      <c r="H410" s="8" t="n"/>
      <c r="I410" s="8" t="n"/>
      <c r="J410" s="8" t="n"/>
      <c r="K410" s="8" t="n"/>
      <c r="L410" s="8" t="n"/>
      <c r="M410" s="8" t="n"/>
      <c r="N410" s="8" t="n"/>
      <c r="O410" s="8" t="n"/>
      <c r="P410" s="8" t="n"/>
      <c r="Q410" s="8" t="n"/>
      <c r="R410" s="8" t="n"/>
      <c r="S410" s="8" t="n"/>
      <c r="T410" s="8" t="n"/>
      <c r="U410" s="8" t="n"/>
      <c r="V410" s="8" t="n"/>
      <c r="W410" s="8" t="n"/>
      <c r="X410" s="8" t="n"/>
      <c r="Y410" s="8" t="n"/>
      <c r="Z410" s="8" t="n"/>
      <c r="AA410" s="8" t="n"/>
      <c r="AB410" s="8" t="n"/>
      <c r="AC410" s="8" t="n"/>
      <c r="AD410" s="8" t="n"/>
      <c r="AE410" s="8" t="n"/>
      <c r="AF410" s="8" t="n"/>
      <c r="AG410" s="8" t="n"/>
      <c r="AH410" s="8" t="n"/>
      <c r="AI410" s="8" t="n"/>
      <c r="AJ410" s="8" t="n"/>
      <c r="AK410" s="8" t="n"/>
      <c r="AL410" s="8" t="n"/>
      <c r="AM410" s="8" t="n"/>
      <c r="AN410" s="8" t="n"/>
      <c r="AO410" s="8" t="n"/>
      <c r="AP410" s="8" t="n"/>
      <c r="AQ410" s="8" t="n"/>
      <c r="AR410" s="8" t="n"/>
      <c r="AS410" s="8" t="n"/>
      <c r="AT410" s="8" t="n"/>
      <c r="AU410" s="8" t="n"/>
      <c r="AV410" s="8" t="n"/>
      <c r="AW410" s="8" t="n"/>
      <c r="AX410" s="8" t="n"/>
      <c r="AY410" s="8" t="n"/>
      <c r="AZ410" s="8" t="n"/>
    </row>
    <row r="411" customFormat="1" s="12">
      <c r="D411" s="13" t="n"/>
      <c r="E411" s="8" t="n"/>
      <c r="F411" s="8" t="n"/>
      <c r="G411" s="8" t="n"/>
      <c r="H411" s="8" t="n"/>
      <c r="I411" s="8" t="n"/>
      <c r="J411" s="8" t="n"/>
      <c r="K411" s="8" t="n"/>
      <c r="L411" s="8" t="n"/>
      <c r="M411" s="8" t="n"/>
      <c r="N411" s="8" t="n"/>
      <c r="O411" s="8" t="n"/>
      <c r="P411" s="8" t="n"/>
      <c r="Q411" s="8" t="n"/>
      <c r="R411" s="8" t="n"/>
      <c r="S411" s="8" t="n"/>
      <c r="T411" s="8" t="n"/>
      <c r="U411" s="8" t="n"/>
      <c r="V411" s="8" t="n"/>
      <c r="W411" s="8" t="n"/>
      <c r="X411" s="8" t="n"/>
      <c r="Y411" s="8" t="n"/>
      <c r="Z411" s="8" t="n"/>
      <c r="AA411" s="8" t="n"/>
      <c r="AB411" s="8" t="n"/>
      <c r="AC411" s="8" t="n"/>
      <c r="AD411" s="8" t="n"/>
      <c r="AE411" s="8" t="n"/>
      <c r="AF411" s="8" t="n"/>
      <c r="AG411" s="8" t="n"/>
      <c r="AH411" s="8" t="n"/>
      <c r="AI411" s="8" t="n"/>
      <c r="AJ411" s="8" t="n"/>
      <c r="AK411" s="8" t="n"/>
      <c r="AL411" s="8" t="n"/>
      <c r="AM411" s="8" t="n"/>
      <c r="AN411" s="8" t="n"/>
      <c r="AO411" s="8" t="n"/>
      <c r="AP411" s="8" t="n"/>
      <c r="AQ411" s="8" t="n"/>
      <c r="AR411" s="8" t="n"/>
      <c r="AS411" s="8" t="n"/>
      <c r="AT411" s="8" t="n"/>
      <c r="AU411" s="8" t="n"/>
      <c r="AV411" s="8" t="n"/>
      <c r="AW411" s="8" t="n"/>
      <c r="AX411" s="8" t="n"/>
      <c r="AY411" s="8" t="n"/>
      <c r="AZ411" s="8" t="n"/>
    </row>
    <row r="412" customFormat="1" s="12">
      <c r="D412" s="13" t="n"/>
      <c r="E412" s="8" t="n"/>
      <c r="F412" s="8" t="n"/>
      <c r="G412" s="8" t="n"/>
      <c r="H412" s="8" t="n"/>
      <c r="I412" s="8" t="n"/>
      <c r="J412" s="8" t="n"/>
      <c r="K412" s="8" t="n"/>
      <c r="L412" s="8" t="n"/>
      <c r="M412" s="8" t="n"/>
      <c r="N412" s="8" t="n"/>
      <c r="O412" s="8" t="n"/>
      <c r="P412" s="8" t="n"/>
      <c r="Q412" s="8" t="n"/>
      <c r="R412" s="8" t="n"/>
      <c r="S412" s="8" t="n"/>
      <c r="T412" s="8" t="n"/>
      <c r="U412" s="8" t="n"/>
      <c r="V412" s="8" t="n"/>
      <c r="W412" s="8" t="n"/>
      <c r="X412" s="8" t="n"/>
      <c r="Y412" s="8" t="n"/>
      <c r="Z412" s="8" t="n"/>
      <c r="AA412" s="8" t="n"/>
      <c r="AB412" s="8" t="n"/>
      <c r="AC412" s="8" t="n"/>
      <c r="AD412" s="8" t="n"/>
      <c r="AE412" s="8" t="n"/>
      <c r="AF412" s="8" t="n"/>
      <c r="AG412" s="8" t="n"/>
      <c r="AH412" s="8" t="n"/>
      <c r="AI412" s="8" t="n"/>
      <c r="AJ412" s="8" t="n"/>
      <c r="AK412" s="8" t="n"/>
      <c r="AL412" s="8" t="n"/>
      <c r="AM412" s="8" t="n"/>
      <c r="AN412" s="8" t="n"/>
      <c r="AO412" s="8" t="n"/>
      <c r="AP412" s="8" t="n"/>
      <c r="AQ412" s="8" t="n"/>
      <c r="AR412" s="8" t="n"/>
      <c r="AS412" s="8" t="n"/>
      <c r="AT412" s="8" t="n"/>
      <c r="AU412" s="8" t="n"/>
      <c r="AV412" s="8" t="n"/>
      <c r="AW412" s="8" t="n"/>
      <c r="AX412" s="8" t="n"/>
      <c r="AY412" s="8" t="n"/>
      <c r="AZ412" s="8" t="n"/>
    </row>
    <row r="413" customFormat="1" s="12">
      <c r="D413" s="13" t="n"/>
      <c r="E413" s="8" t="n"/>
      <c r="F413" s="8" t="n"/>
      <c r="G413" s="8" t="n"/>
      <c r="H413" s="8" t="n"/>
      <c r="I413" s="8" t="n"/>
      <c r="J413" s="8" t="n"/>
      <c r="K413" s="8" t="n"/>
      <c r="L413" s="8" t="n"/>
      <c r="M413" s="8" t="n"/>
      <c r="N413" s="8" t="n"/>
      <c r="O413" s="8" t="n"/>
      <c r="P413" s="8" t="n"/>
      <c r="Q413" s="8" t="n"/>
      <c r="R413" s="8" t="n"/>
      <c r="S413" s="8" t="n"/>
      <c r="T413" s="8" t="n"/>
      <c r="U413" s="8" t="n"/>
      <c r="V413" s="8" t="n"/>
      <c r="W413" s="8" t="n"/>
      <c r="X413" s="8" t="n"/>
      <c r="Y413" s="8" t="n"/>
      <c r="Z413" s="8" t="n"/>
      <c r="AA413" s="8" t="n"/>
      <c r="AB413" s="8" t="n"/>
      <c r="AC413" s="8" t="n"/>
      <c r="AD413" s="8" t="n"/>
      <c r="AE413" s="8" t="n"/>
      <c r="AF413" s="8" t="n"/>
      <c r="AG413" s="8" t="n"/>
      <c r="AH413" s="8" t="n"/>
      <c r="AI413" s="8" t="n"/>
      <c r="AJ413" s="8" t="n"/>
      <c r="AK413" s="8" t="n"/>
      <c r="AL413" s="8" t="n"/>
      <c r="AM413" s="8" t="n"/>
      <c r="AN413" s="8" t="n"/>
      <c r="AO413" s="8" t="n"/>
      <c r="AP413" s="8" t="n"/>
      <c r="AQ413" s="8" t="n"/>
      <c r="AR413" s="8" t="n"/>
      <c r="AS413" s="8" t="n"/>
      <c r="AT413" s="8" t="n"/>
      <c r="AU413" s="8" t="n"/>
      <c r="AV413" s="8" t="n"/>
      <c r="AW413" s="8" t="n"/>
      <c r="AX413" s="8" t="n"/>
      <c r="AY413" s="8" t="n"/>
      <c r="AZ413" s="8" t="n"/>
    </row>
    <row r="414" customFormat="1" s="12">
      <c r="D414" s="13" t="n"/>
      <c r="E414" s="8" t="n"/>
      <c r="F414" s="8" t="n"/>
      <c r="G414" s="8" t="n"/>
      <c r="H414" s="8" t="n"/>
      <c r="I414" s="8" t="n"/>
      <c r="J414" s="8" t="n"/>
      <c r="K414" s="8" t="n"/>
      <c r="L414" s="8" t="n"/>
      <c r="M414" s="8" t="n"/>
      <c r="N414" s="8" t="n"/>
      <c r="O414" s="8" t="n"/>
      <c r="P414" s="8" t="n"/>
      <c r="Q414" s="8" t="n"/>
      <c r="R414" s="8" t="n"/>
      <c r="S414" s="8" t="n"/>
      <c r="T414" s="8" t="n"/>
      <c r="U414" s="8" t="n"/>
      <c r="V414" s="8" t="n"/>
      <c r="W414" s="8" t="n"/>
      <c r="X414" s="8" t="n"/>
      <c r="Y414" s="8" t="n"/>
      <c r="Z414" s="8" t="n"/>
      <c r="AA414" s="8" t="n"/>
      <c r="AB414" s="8" t="n"/>
      <c r="AC414" s="8" t="n"/>
      <c r="AD414" s="8" t="n"/>
      <c r="AE414" s="8" t="n"/>
      <c r="AF414" s="8" t="n"/>
      <c r="AG414" s="8" t="n"/>
      <c r="AH414" s="8" t="n"/>
      <c r="AI414" s="8" t="n"/>
      <c r="AJ414" s="8" t="n"/>
      <c r="AK414" s="8" t="n"/>
      <c r="AL414" s="8" t="n"/>
      <c r="AM414" s="8" t="n"/>
      <c r="AN414" s="8" t="n"/>
      <c r="AO414" s="8" t="n"/>
      <c r="AP414" s="8" t="n"/>
      <c r="AQ414" s="8" t="n"/>
      <c r="AR414" s="8" t="n"/>
      <c r="AS414" s="8" t="n"/>
      <c r="AT414" s="8" t="n"/>
      <c r="AU414" s="8" t="n"/>
      <c r="AV414" s="8" t="n"/>
      <c r="AW414" s="8" t="n"/>
      <c r="AX414" s="8" t="n"/>
      <c r="AY414" s="8" t="n"/>
      <c r="AZ414" s="8" t="n"/>
    </row>
    <row r="415" customFormat="1" s="12">
      <c r="D415" s="13" t="n"/>
      <c r="E415" s="8" t="n"/>
      <c r="F415" s="8" t="n"/>
      <c r="G415" s="8" t="n"/>
      <c r="H415" s="8" t="n"/>
      <c r="I415" s="8" t="n"/>
      <c r="J415" s="8" t="n"/>
      <c r="K415" s="8" t="n"/>
      <c r="L415" s="8" t="n"/>
      <c r="M415" s="8" t="n"/>
      <c r="N415" s="8" t="n"/>
      <c r="O415" s="8" t="n"/>
      <c r="P415" s="8" t="n"/>
      <c r="Q415" s="8" t="n"/>
      <c r="R415" s="8" t="n"/>
      <c r="S415" s="8" t="n"/>
      <c r="T415" s="8" t="n"/>
      <c r="U415" s="8" t="n"/>
      <c r="V415" s="8" t="n"/>
      <c r="W415" s="8" t="n"/>
      <c r="X415" s="8" t="n"/>
      <c r="Y415" s="8" t="n"/>
      <c r="Z415" s="8" t="n"/>
      <c r="AA415" s="8" t="n"/>
      <c r="AB415" s="8" t="n"/>
      <c r="AC415" s="8" t="n"/>
      <c r="AD415" s="8" t="n"/>
      <c r="AE415" s="8" t="n"/>
      <c r="AF415" s="8" t="n"/>
      <c r="AG415" s="8" t="n"/>
      <c r="AH415" s="8" t="n"/>
      <c r="AI415" s="8" t="n"/>
      <c r="AJ415" s="8" t="n"/>
      <c r="AK415" s="8" t="n"/>
      <c r="AL415" s="8" t="n"/>
      <c r="AM415" s="8" t="n"/>
      <c r="AN415" s="8" t="n"/>
      <c r="AO415" s="8" t="n"/>
      <c r="AP415" s="8" t="n"/>
      <c r="AQ415" s="8" t="n"/>
      <c r="AR415" s="8" t="n"/>
      <c r="AS415" s="8" t="n"/>
      <c r="AT415" s="8" t="n"/>
      <c r="AU415" s="8" t="n"/>
      <c r="AV415" s="8" t="n"/>
      <c r="AW415" s="8" t="n"/>
      <c r="AX415" s="8" t="n"/>
      <c r="AY415" s="8" t="n"/>
      <c r="AZ415" s="8" t="n"/>
    </row>
    <row r="416" customFormat="1" s="12">
      <c r="D416" s="13" t="n"/>
      <c r="E416" s="8" t="n"/>
      <c r="F416" s="8" t="n"/>
      <c r="G416" s="8" t="n"/>
      <c r="H416" s="8" t="n"/>
      <c r="I416" s="8" t="n"/>
      <c r="J416" s="8" t="n"/>
      <c r="K416" s="8" t="n"/>
      <c r="L416" s="8" t="n"/>
      <c r="M416" s="8" t="n"/>
      <c r="N416" s="8" t="n"/>
      <c r="O416" s="8" t="n"/>
      <c r="P416" s="8" t="n"/>
      <c r="Q416" s="8" t="n"/>
      <c r="R416" s="8" t="n"/>
      <c r="S416" s="8" t="n"/>
      <c r="T416" s="8" t="n"/>
      <c r="U416" s="8" t="n"/>
      <c r="V416" s="8" t="n"/>
      <c r="W416" s="8" t="n"/>
      <c r="X416" s="8" t="n"/>
      <c r="Y416" s="8" t="n"/>
      <c r="Z416" s="8" t="n"/>
      <c r="AA416" s="8" t="n"/>
      <c r="AB416" s="8" t="n"/>
      <c r="AC416" s="8" t="n"/>
      <c r="AD416" s="8" t="n"/>
      <c r="AE416" s="8" t="n"/>
      <c r="AF416" s="8" t="n"/>
      <c r="AG416" s="8" t="n"/>
      <c r="AH416" s="8" t="n"/>
      <c r="AI416" s="8" t="n"/>
      <c r="AJ416" s="8" t="n"/>
      <c r="AK416" s="8" t="n"/>
      <c r="AL416" s="8" t="n"/>
      <c r="AM416" s="8" t="n"/>
      <c r="AN416" s="8" t="n"/>
      <c r="AO416" s="8" t="n"/>
      <c r="AP416" s="8" t="n"/>
      <c r="AQ416" s="8" t="n"/>
      <c r="AR416" s="8" t="n"/>
      <c r="AS416" s="8" t="n"/>
      <c r="AT416" s="8" t="n"/>
      <c r="AU416" s="8" t="n"/>
      <c r="AV416" s="8" t="n"/>
      <c r="AW416" s="8" t="n"/>
      <c r="AX416" s="8" t="n"/>
      <c r="AY416" s="8" t="n"/>
      <c r="AZ416" s="8" t="n"/>
    </row>
    <row r="417" customFormat="1" s="12">
      <c r="D417" s="13" t="n"/>
      <c r="E417" s="8" t="n"/>
      <c r="F417" s="8" t="n"/>
      <c r="G417" s="8" t="n"/>
      <c r="H417" s="8" t="n"/>
      <c r="I417" s="8" t="n"/>
      <c r="J417" s="8" t="n"/>
      <c r="K417" s="8" t="n"/>
      <c r="L417" s="8" t="n"/>
      <c r="M417" s="8" t="n"/>
      <c r="N417" s="8" t="n"/>
      <c r="O417" s="8" t="n"/>
      <c r="P417" s="8" t="n"/>
      <c r="Q417" s="8" t="n"/>
      <c r="R417" s="8" t="n"/>
      <c r="S417" s="8" t="n"/>
      <c r="T417" s="8" t="n"/>
      <c r="U417" s="8" t="n"/>
      <c r="V417" s="8" t="n"/>
      <c r="W417" s="8" t="n"/>
      <c r="X417" s="8" t="n"/>
      <c r="Y417" s="8" t="n"/>
      <c r="Z417" s="8" t="n"/>
      <c r="AA417" s="8" t="n"/>
      <c r="AB417" s="8" t="n"/>
      <c r="AC417" s="8" t="n"/>
      <c r="AD417" s="8" t="n"/>
      <c r="AE417" s="8" t="n"/>
      <c r="AF417" s="8" t="n"/>
      <c r="AG417" s="8" t="n"/>
      <c r="AH417" s="8" t="n"/>
      <c r="AI417" s="8" t="n"/>
      <c r="AJ417" s="8" t="n"/>
      <c r="AK417" s="8" t="n"/>
      <c r="AL417" s="8" t="n"/>
      <c r="AM417" s="8" t="n"/>
      <c r="AN417" s="8" t="n"/>
      <c r="AO417" s="8" t="n"/>
      <c r="AP417" s="8" t="n"/>
      <c r="AQ417" s="8" t="n"/>
      <c r="AR417" s="8" t="n"/>
      <c r="AS417" s="8" t="n"/>
      <c r="AT417" s="8" t="n"/>
      <c r="AU417" s="8" t="n"/>
      <c r="AV417" s="8" t="n"/>
      <c r="AW417" s="8" t="n"/>
      <c r="AX417" s="8" t="n"/>
      <c r="AY417" s="8" t="n"/>
      <c r="AZ417" s="8" t="n"/>
    </row>
    <row r="418" customFormat="1" s="12">
      <c r="D418" s="13" t="n"/>
      <c r="E418" s="8" t="n"/>
      <c r="F418" s="8" t="n"/>
      <c r="G418" s="8" t="n"/>
      <c r="H418" s="8" t="n"/>
      <c r="I418" s="8" t="n"/>
      <c r="J418" s="8" t="n"/>
      <c r="K418" s="8" t="n"/>
      <c r="L418" s="8" t="n"/>
      <c r="M418" s="8" t="n"/>
      <c r="N418" s="8" t="n"/>
      <c r="O418" s="8" t="n"/>
      <c r="P418" s="8" t="n"/>
      <c r="Q418" s="8" t="n"/>
      <c r="R418" s="8" t="n"/>
      <c r="S418" s="8" t="n"/>
      <c r="T418" s="8" t="n"/>
      <c r="U418" s="8" t="n"/>
      <c r="V418" s="8" t="n"/>
      <c r="W418" s="8" t="n"/>
      <c r="X418" s="8" t="n"/>
      <c r="Y418" s="8" t="n"/>
      <c r="Z418" s="8" t="n"/>
      <c r="AA418" s="8" t="n"/>
      <c r="AB418" s="8" t="n"/>
      <c r="AC418" s="8" t="n"/>
      <c r="AD418" s="8" t="n"/>
      <c r="AE418" s="8" t="n"/>
      <c r="AF418" s="8" t="n"/>
      <c r="AG418" s="8" t="n"/>
      <c r="AH418" s="8" t="n"/>
      <c r="AI418" s="8" t="n"/>
      <c r="AJ418" s="8" t="n"/>
      <c r="AK418" s="8" t="n"/>
      <c r="AL418" s="8" t="n"/>
      <c r="AM418" s="8" t="n"/>
      <c r="AN418" s="8" t="n"/>
      <c r="AO418" s="8" t="n"/>
      <c r="AP418" s="8" t="n"/>
      <c r="AQ418" s="8" t="n"/>
      <c r="AR418" s="8" t="n"/>
      <c r="AS418" s="8" t="n"/>
      <c r="AT418" s="8" t="n"/>
      <c r="AU418" s="8" t="n"/>
      <c r="AV418" s="8" t="n"/>
      <c r="AW418" s="8" t="n"/>
      <c r="AX418" s="8" t="n"/>
      <c r="AY418" s="8" t="n"/>
      <c r="AZ418" s="8" t="n"/>
    </row>
    <row r="419" customFormat="1" s="12">
      <c r="D419" s="13" t="n"/>
      <c r="E419" s="8" t="n"/>
      <c r="F419" s="8" t="n"/>
      <c r="G419" s="8" t="n"/>
      <c r="H419" s="8" t="n"/>
      <c r="I419" s="8" t="n"/>
      <c r="J419" s="8" t="n"/>
      <c r="K419" s="8" t="n"/>
      <c r="L419" s="8" t="n"/>
      <c r="M419" s="8" t="n"/>
      <c r="N419" s="8" t="n"/>
      <c r="O419" s="8" t="n"/>
      <c r="P419" s="8" t="n"/>
      <c r="Q419" s="8" t="n"/>
      <c r="R419" s="8" t="n"/>
      <c r="S419" s="8" t="n"/>
      <c r="T419" s="8" t="n"/>
      <c r="U419" s="8" t="n"/>
      <c r="V419" s="8" t="n"/>
      <c r="W419" s="8" t="n"/>
      <c r="X419" s="8" t="n"/>
      <c r="Y419" s="8" t="n"/>
      <c r="Z419" s="8" t="n"/>
      <c r="AA419" s="8" t="n"/>
      <c r="AB419" s="8" t="n"/>
      <c r="AC419" s="8" t="n"/>
      <c r="AD419" s="8" t="n"/>
      <c r="AE419" s="8" t="n"/>
      <c r="AF419" s="8" t="n"/>
      <c r="AG419" s="8" t="n"/>
      <c r="AH419" s="8" t="n"/>
      <c r="AI419" s="8" t="n"/>
      <c r="AJ419" s="8" t="n"/>
      <c r="AK419" s="8" t="n"/>
      <c r="AL419" s="8" t="n"/>
      <c r="AM419" s="8" t="n"/>
      <c r="AN419" s="8" t="n"/>
      <c r="AO419" s="8" t="n"/>
      <c r="AP419" s="8" t="n"/>
      <c r="AQ419" s="8" t="n"/>
      <c r="AR419" s="8" t="n"/>
      <c r="AS419" s="8" t="n"/>
      <c r="AT419" s="8" t="n"/>
      <c r="AU419" s="8" t="n"/>
      <c r="AV419" s="8" t="n"/>
      <c r="AW419" s="8" t="n"/>
      <c r="AX419" s="8" t="n"/>
      <c r="AY419" s="8" t="n"/>
      <c r="AZ419" s="8" t="n"/>
    </row>
    <row r="420" customFormat="1" s="12">
      <c r="D420" s="13" t="n"/>
      <c r="E420" s="8" t="n"/>
      <c r="F420" s="8" t="n"/>
      <c r="G420" s="8" t="n"/>
      <c r="H420" s="8" t="n"/>
      <c r="I420" s="8" t="n"/>
      <c r="J420" s="8" t="n"/>
      <c r="K420" s="8" t="n"/>
      <c r="L420" s="8" t="n"/>
      <c r="M420" s="8" t="n"/>
      <c r="N420" s="8" t="n"/>
      <c r="O420" s="8" t="n"/>
      <c r="P420" s="8" t="n"/>
      <c r="Q420" s="8" t="n"/>
      <c r="R420" s="8" t="n"/>
      <c r="S420" s="8" t="n"/>
      <c r="T420" s="8" t="n"/>
      <c r="U420" s="8" t="n"/>
      <c r="V420" s="8" t="n"/>
      <c r="W420" s="8" t="n"/>
      <c r="X420" s="8" t="n"/>
      <c r="Y420" s="8" t="n"/>
      <c r="Z420" s="8" t="n"/>
      <c r="AA420" s="8" t="n"/>
      <c r="AB420" s="8" t="n"/>
      <c r="AC420" s="8" t="n"/>
      <c r="AD420" s="8" t="n"/>
      <c r="AE420" s="8" t="n"/>
      <c r="AF420" s="8" t="n"/>
      <c r="AG420" s="8" t="n"/>
      <c r="AH420" s="8" t="n"/>
      <c r="AI420" s="8" t="n"/>
      <c r="AJ420" s="8" t="n"/>
      <c r="AK420" s="8" t="n"/>
      <c r="AL420" s="8" t="n"/>
      <c r="AM420" s="8" t="n"/>
      <c r="AN420" s="8" t="n"/>
      <c r="AO420" s="8" t="n"/>
      <c r="AP420" s="8" t="n"/>
      <c r="AQ420" s="8" t="n"/>
      <c r="AR420" s="8" t="n"/>
      <c r="AS420" s="8" t="n"/>
      <c r="AT420" s="8" t="n"/>
      <c r="AU420" s="8" t="n"/>
      <c r="AV420" s="8" t="n"/>
      <c r="AW420" s="8" t="n"/>
      <c r="AX420" s="8" t="n"/>
      <c r="AY420" s="8" t="n"/>
      <c r="AZ420" s="8" t="n"/>
    </row>
    <row r="421" customFormat="1" s="12">
      <c r="D421" s="13" t="n"/>
      <c r="E421" s="8" t="n"/>
      <c r="F421" s="8" t="n"/>
      <c r="G421" s="8" t="n"/>
      <c r="H421" s="8" t="n"/>
      <c r="I421" s="8" t="n"/>
      <c r="J421" s="8" t="n"/>
      <c r="K421" s="8" t="n"/>
      <c r="L421" s="8" t="n"/>
      <c r="M421" s="8" t="n"/>
      <c r="N421" s="8" t="n"/>
      <c r="O421" s="8" t="n"/>
      <c r="P421" s="8" t="n"/>
      <c r="Q421" s="8" t="n"/>
      <c r="R421" s="8" t="n"/>
      <c r="S421" s="8" t="n"/>
      <c r="T421" s="8" t="n"/>
      <c r="U421" s="8" t="n"/>
      <c r="V421" s="8" t="n"/>
      <c r="W421" s="8" t="n"/>
      <c r="X421" s="8" t="n"/>
      <c r="Y421" s="8" t="n"/>
      <c r="Z421" s="8" t="n"/>
      <c r="AA421" s="8" t="n"/>
      <c r="AB421" s="8" t="n"/>
      <c r="AC421" s="8" t="n"/>
      <c r="AD421" s="8" t="n"/>
      <c r="AE421" s="8" t="n"/>
      <c r="AF421" s="8" t="n"/>
      <c r="AG421" s="8" t="n"/>
      <c r="AH421" s="8" t="n"/>
      <c r="AI421" s="8" t="n"/>
      <c r="AJ421" s="8" t="n"/>
      <c r="AK421" s="8" t="n"/>
      <c r="AL421" s="8" t="n"/>
      <c r="AM421" s="8" t="n"/>
      <c r="AN421" s="8" t="n"/>
      <c r="AO421" s="8" t="n"/>
      <c r="AP421" s="8" t="n"/>
      <c r="AQ421" s="8" t="n"/>
      <c r="AR421" s="8" t="n"/>
      <c r="AS421" s="8" t="n"/>
      <c r="AT421" s="8" t="n"/>
      <c r="AU421" s="8" t="n"/>
      <c r="AV421" s="8" t="n"/>
      <c r="AW421" s="8" t="n"/>
      <c r="AX421" s="8" t="n"/>
      <c r="AY421" s="8" t="n"/>
      <c r="AZ421" s="8" t="n"/>
    </row>
    <row r="422" customFormat="1" s="12">
      <c r="D422" s="13" t="n"/>
      <c r="E422" s="8" t="n"/>
      <c r="F422" s="8" t="n"/>
      <c r="G422" s="8" t="n"/>
      <c r="H422" s="8" t="n"/>
      <c r="I422" s="8" t="n"/>
      <c r="J422" s="8" t="n"/>
      <c r="K422" s="8" t="n"/>
      <c r="L422" s="8" t="n"/>
      <c r="M422" s="8" t="n"/>
      <c r="N422" s="8" t="n"/>
      <c r="O422" s="8" t="n"/>
      <c r="P422" s="8" t="n"/>
      <c r="Q422" s="8" t="n"/>
      <c r="R422" s="8" t="n"/>
      <c r="S422" s="8" t="n"/>
      <c r="T422" s="8" t="n"/>
      <c r="U422" s="8" t="n"/>
      <c r="V422" s="8" t="n"/>
      <c r="W422" s="8" t="n"/>
      <c r="X422" s="8" t="n"/>
      <c r="Y422" s="8" t="n"/>
      <c r="Z422" s="8" t="n"/>
      <c r="AA422" s="8" t="n"/>
      <c r="AB422" s="8" t="n"/>
      <c r="AC422" s="8" t="n"/>
      <c r="AD422" s="8" t="n"/>
      <c r="AE422" s="8" t="n"/>
      <c r="AF422" s="8" t="n"/>
      <c r="AG422" s="8" t="n"/>
      <c r="AH422" s="8" t="n"/>
      <c r="AI422" s="8" t="n"/>
      <c r="AJ422" s="8" t="n"/>
      <c r="AK422" s="8" t="n"/>
      <c r="AL422" s="8" t="n"/>
      <c r="AM422" s="8" t="n"/>
      <c r="AN422" s="8" t="n"/>
      <c r="AO422" s="8" t="n"/>
      <c r="AP422" s="8" t="n"/>
      <c r="AQ422" s="8" t="n"/>
      <c r="AR422" s="8" t="n"/>
      <c r="AS422" s="8" t="n"/>
      <c r="AT422" s="8" t="n"/>
      <c r="AU422" s="8" t="n"/>
      <c r="AV422" s="8" t="n"/>
      <c r="AW422" s="8" t="n"/>
      <c r="AX422" s="8" t="n"/>
      <c r="AY422" s="8" t="n"/>
      <c r="AZ422" s="8" t="n"/>
    </row>
    <row r="423" customFormat="1" s="12">
      <c r="D423" s="13" t="n"/>
      <c r="E423" s="8" t="n"/>
      <c r="F423" s="8" t="n"/>
      <c r="G423" s="8" t="n"/>
      <c r="H423" s="8" t="n"/>
      <c r="I423" s="8" t="n"/>
      <c r="J423" s="8" t="n"/>
      <c r="K423" s="8" t="n"/>
      <c r="L423" s="8" t="n"/>
      <c r="M423" s="8" t="n"/>
      <c r="N423" s="8" t="n"/>
      <c r="O423" s="8" t="n"/>
      <c r="P423" s="8" t="n"/>
      <c r="Q423" s="8" t="n"/>
      <c r="R423" s="8" t="n"/>
      <c r="S423" s="8" t="n"/>
      <c r="T423" s="8" t="n"/>
      <c r="U423" s="8" t="n"/>
      <c r="V423" s="8" t="n"/>
      <c r="W423" s="8" t="n"/>
      <c r="X423" s="8" t="n"/>
      <c r="Y423" s="8" t="n"/>
      <c r="Z423" s="8" t="n"/>
      <c r="AA423" s="8" t="n"/>
      <c r="AB423" s="8" t="n"/>
      <c r="AC423" s="8" t="n"/>
      <c r="AD423" s="8" t="n"/>
      <c r="AE423" s="8" t="n"/>
      <c r="AF423" s="8" t="n"/>
      <c r="AG423" s="8" t="n"/>
      <c r="AH423" s="8" t="n"/>
      <c r="AI423" s="8" t="n"/>
      <c r="AJ423" s="8" t="n"/>
      <c r="AK423" s="8" t="n"/>
      <c r="AL423" s="8" t="n"/>
      <c r="AM423" s="8" t="n"/>
      <c r="AN423" s="8" t="n"/>
      <c r="AO423" s="8" t="n"/>
      <c r="AP423" s="8" t="n"/>
      <c r="AQ423" s="8" t="n"/>
      <c r="AR423" s="8" t="n"/>
      <c r="AS423" s="8" t="n"/>
      <c r="AT423" s="8" t="n"/>
      <c r="AU423" s="8" t="n"/>
      <c r="AV423" s="8" t="n"/>
      <c r="AW423" s="8" t="n"/>
      <c r="AX423" s="8" t="n"/>
      <c r="AY423" s="8" t="n"/>
      <c r="AZ423" s="8" t="n"/>
    </row>
    <row r="424" customFormat="1" s="12">
      <c r="D424" s="13" t="n"/>
      <c r="E424" s="8" t="n"/>
      <c r="F424" s="8" t="n"/>
      <c r="G424" s="8" t="n"/>
      <c r="H424" s="8" t="n"/>
      <c r="I424" s="8" t="n"/>
      <c r="J424" s="8" t="n"/>
      <c r="K424" s="8" t="n"/>
      <c r="L424" s="8" t="n"/>
      <c r="M424" s="8" t="n"/>
      <c r="N424" s="8" t="n"/>
      <c r="O424" s="8" t="n"/>
      <c r="P424" s="8" t="n"/>
      <c r="Q424" s="8" t="n"/>
      <c r="R424" s="8" t="n"/>
      <c r="S424" s="8" t="n"/>
      <c r="T424" s="8" t="n"/>
      <c r="U424" s="8" t="n"/>
      <c r="V424" s="8" t="n"/>
      <c r="W424" s="8" t="n"/>
      <c r="X424" s="8" t="n"/>
      <c r="Y424" s="8" t="n"/>
      <c r="Z424" s="8" t="n"/>
      <c r="AA424" s="8" t="n"/>
      <c r="AB424" s="8" t="n"/>
      <c r="AC424" s="8" t="n"/>
      <c r="AD424" s="8" t="n"/>
      <c r="AE424" s="8" t="n"/>
      <c r="AF424" s="8" t="n"/>
      <c r="AG424" s="8" t="n"/>
      <c r="AH424" s="8" t="n"/>
      <c r="AI424" s="8" t="n"/>
      <c r="AJ424" s="8" t="n"/>
      <c r="AK424" s="8" t="n"/>
      <c r="AL424" s="8" t="n"/>
      <c r="AM424" s="8" t="n"/>
      <c r="AN424" s="8" t="n"/>
      <c r="AO424" s="8" t="n"/>
      <c r="AP424" s="8" t="n"/>
      <c r="AQ424" s="8" t="n"/>
      <c r="AR424" s="8" t="n"/>
      <c r="AS424" s="8" t="n"/>
      <c r="AT424" s="8" t="n"/>
      <c r="AU424" s="8" t="n"/>
      <c r="AV424" s="8" t="n"/>
      <c r="AW424" s="8" t="n"/>
      <c r="AX424" s="8" t="n"/>
      <c r="AY424" s="8" t="n"/>
      <c r="AZ424" s="8" t="n"/>
    </row>
    <row r="425" customFormat="1" s="12">
      <c r="D425" s="13" t="n"/>
      <c r="E425" s="8" t="n"/>
      <c r="F425" s="8" t="n"/>
      <c r="G425" s="8" t="n"/>
      <c r="H425" s="8" t="n"/>
      <c r="I425" s="8" t="n"/>
      <c r="J425" s="8" t="n"/>
      <c r="K425" s="8" t="n"/>
      <c r="L425" s="8" t="n"/>
      <c r="M425" s="8" t="n"/>
      <c r="N425" s="8" t="n"/>
      <c r="O425" s="8" t="n"/>
      <c r="P425" s="8" t="n"/>
      <c r="Q425" s="8" t="n"/>
      <c r="R425" s="8" t="n"/>
      <c r="S425" s="8" t="n"/>
      <c r="T425" s="8" t="n"/>
      <c r="U425" s="8" t="n"/>
      <c r="V425" s="8" t="n"/>
      <c r="W425" s="8" t="n"/>
      <c r="X425" s="8" t="n"/>
      <c r="Y425" s="8" t="n"/>
      <c r="Z425" s="8" t="n"/>
      <c r="AA425" s="8" t="n"/>
      <c r="AB425" s="8" t="n"/>
      <c r="AC425" s="8" t="n"/>
      <c r="AD425" s="8" t="n"/>
      <c r="AE425" s="8" t="n"/>
      <c r="AF425" s="8" t="n"/>
      <c r="AG425" s="8" t="n"/>
      <c r="AH425" s="8" t="n"/>
      <c r="AI425" s="8" t="n"/>
      <c r="AJ425" s="8" t="n"/>
      <c r="AK425" s="8" t="n"/>
      <c r="AL425" s="8" t="n"/>
      <c r="AM425" s="8" t="n"/>
      <c r="AN425" s="8" t="n"/>
      <c r="AO425" s="8" t="n"/>
      <c r="AP425" s="8" t="n"/>
      <c r="AQ425" s="8" t="n"/>
      <c r="AR425" s="8" t="n"/>
      <c r="AS425" s="8" t="n"/>
      <c r="AT425" s="8" t="n"/>
      <c r="AU425" s="8" t="n"/>
      <c r="AV425" s="8" t="n"/>
      <c r="AW425" s="8" t="n"/>
      <c r="AX425" s="8" t="n"/>
      <c r="AY425" s="8" t="n"/>
      <c r="AZ425" s="8" t="n"/>
    </row>
    <row r="426" customFormat="1" s="12">
      <c r="D426" s="13" t="n"/>
      <c r="E426" s="8" t="n"/>
      <c r="F426" s="8" t="n"/>
      <c r="G426" s="8" t="n"/>
      <c r="H426" s="8" t="n"/>
      <c r="I426" s="8" t="n"/>
      <c r="J426" s="8" t="n"/>
      <c r="K426" s="8" t="n"/>
      <c r="L426" s="8" t="n"/>
      <c r="M426" s="8" t="n"/>
      <c r="N426" s="8" t="n"/>
      <c r="O426" s="8" t="n"/>
      <c r="P426" s="8" t="n"/>
      <c r="Q426" s="8" t="n"/>
      <c r="R426" s="8" t="n"/>
      <c r="S426" s="8" t="n"/>
      <c r="T426" s="8" t="n"/>
      <c r="U426" s="8" t="n"/>
      <c r="V426" s="8" t="n"/>
      <c r="W426" s="8" t="n"/>
      <c r="X426" s="8" t="n"/>
      <c r="Y426" s="8" t="n"/>
      <c r="Z426" s="8" t="n"/>
      <c r="AA426" s="8" t="n"/>
      <c r="AB426" s="8" t="n"/>
      <c r="AC426" s="8" t="n"/>
      <c r="AD426" s="8" t="n"/>
      <c r="AE426" s="8" t="n"/>
      <c r="AF426" s="8" t="n"/>
      <c r="AG426" s="8" t="n"/>
      <c r="AH426" s="8" t="n"/>
      <c r="AI426" s="8" t="n"/>
      <c r="AJ426" s="8" t="n"/>
      <c r="AK426" s="8" t="n"/>
      <c r="AL426" s="8" t="n"/>
      <c r="AM426" s="8" t="n"/>
      <c r="AN426" s="8" t="n"/>
      <c r="AO426" s="8" t="n"/>
      <c r="AP426" s="8" t="n"/>
      <c r="AQ426" s="8" t="n"/>
      <c r="AR426" s="8" t="n"/>
      <c r="AS426" s="8" t="n"/>
      <c r="AT426" s="8" t="n"/>
      <c r="AU426" s="8" t="n"/>
      <c r="AV426" s="8" t="n"/>
      <c r="AW426" s="8" t="n"/>
      <c r="AX426" s="8" t="n"/>
      <c r="AY426" s="8" t="n"/>
      <c r="AZ426" s="8" t="n"/>
    </row>
    <row r="427" customFormat="1" s="12">
      <c r="D427" s="13" t="n"/>
      <c r="E427" s="8" t="n"/>
      <c r="F427" s="8" t="n"/>
      <c r="G427" s="8" t="n"/>
      <c r="H427" s="8" t="n"/>
      <c r="I427" s="8" t="n"/>
      <c r="J427" s="8" t="n"/>
      <c r="K427" s="8" t="n"/>
      <c r="L427" s="8" t="n"/>
      <c r="M427" s="8" t="n"/>
      <c r="N427" s="8" t="n"/>
      <c r="O427" s="8" t="n"/>
      <c r="P427" s="8" t="n"/>
      <c r="Q427" s="8" t="n"/>
      <c r="R427" s="8" t="n"/>
      <c r="S427" s="8" t="n"/>
      <c r="T427" s="8" t="n"/>
      <c r="U427" s="8" t="n"/>
      <c r="V427" s="8" t="n"/>
      <c r="W427" s="8" t="n"/>
      <c r="X427" s="8" t="n"/>
      <c r="Y427" s="8" t="n"/>
      <c r="Z427" s="8" t="n"/>
      <c r="AA427" s="8" t="n"/>
      <c r="AB427" s="8" t="n"/>
      <c r="AC427" s="8" t="n"/>
      <c r="AD427" s="8" t="n"/>
      <c r="AE427" s="8" t="n"/>
      <c r="AF427" s="8" t="n"/>
      <c r="AG427" s="8" t="n"/>
      <c r="AH427" s="8" t="n"/>
      <c r="AI427" s="8" t="n"/>
      <c r="AJ427" s="8" t="n"/>
      <c r="AK427" s="8" t="n"/>
      <c r="AL427" s="8" t="n"/>
      <c r="AM427" s="8" t="n"/>
      <c r="AN427" s="8" t="n"/>
      <c r="AO427" s="8" t="n"/>
      <c r="AP427" s="8" t="n"/>
      <c r="AQ427" s="8" t="n"/>
      <c r="AR427" s="8" t="n"/>
      <c r="AS427" s="8" t="n"/>
      <c r="AT427" s="8" t="n"/>
      <c r="AU427" s="8" t="n"/>
      <c r="AV427" s="8" t="n"/>
      <c r="AW427" s="8" t="n"/>
      <c r="AX427" s="8" t="n"/>
      <c r="AY427" s="8" t="n"/>
      <c r="AZ427" s="8" t="n"/>
    </row>
    <row r="428" customFormat="1" s="12">
      <c r="D428" s="13" t="n"/>
      <c r="E428" s="8" t="n"/>
      <c r="F428" s="8" t="n"/>
      <c r="G428" s="8" t="n"/>
      <c r="H428" s="8" t="n"/>
      <c r="I428" s="8" t="n"/>
      <c r="J428" s="8" t="n"/>
      <c r="K428" s="8" t="n"/>
      <c r="L428" s="8" t="n"/>
      <c r="M428" s="8" t="n"/>
      <c r="N428" s="8" t="n"/>
      <c r="O428" s="8" t="n"/>
      <c r="P428" s="8" t="n"/>
      <c r="Q428" s="8" t="n"/>
      <c r="R428" s="8" t="n"/>
      <c r="S428" s="8" t="n"/>
      <c r="T428" s="8" t="n"/>
      <c r="U428" s="8" t="n"/>
      <c r="V428" s="8" t="n"/>
      <c r="W428" s="8" t="n"/>
      <c r="X428" s="8" t="n"/>
      <c r="Y428" s="8" t="n"/>
      <c r="Z428" s="8" t="n"/>
      <c r="AA428" s="8" t="n"/>
      <c r="AB428" s="8" t="n"/>
      <c r="AC428" s="8" t="n"/>
      <c r="AD428" s="8" t="n"/>
      <c r="AE428" s="8" t="n"/>
      <c r="AF428" s="8" t="n"/>
      <c r="AG428" s="8" t="n"/>
      <c r="AH428" s="8" t="n"/>
      <c r="AI428" s="8" t="n"/>
      <c r="AJ428" s="8" t="n"/>
      <c r="AK428" s="8" t="n"/>
      <c r="AL428" s="8" t="n"/>
      <c r="AM428" s="8" t="n"/>
      <c r="AN428" s="8" t="n"/>
      <c r="AO428" s="8" t="n"/>
      <c r="AP428" s="8" t="n"/>
      <c r="AQ428" s="8" t="n"/>
      <c r="AR428" s="8" t="n"/>
      <c r="AS428" s="8" t="n"/>
      <c r="AT428" s="8" t="n"/>
      <c r="AU428" s="8" t="n"/>
      <c r="AV428" s="8" t="n"/>
      <c r="AW428" s="8" t="n"/>
      <c r="AX428" s="8" t="n"/>
      <c r="AY428" s="8" t="n"/>
      <c r="AZ428" s="8" t="n"/>
    </row>
    <row r="429" customFormat="1" s="12">
      <c r="D429" s="13" t="n"/>
      <c r="E429" s="8" t="n"/>
      <c r="F429" s="8" t="n"/>
      <c r="G429" s="8" t="n"/>
      <c r="H429" s="8" t="n"/>
      <c r="I429" s="8" t="n"/>
      <c r="J429" s="8" t="n"/>
      <c r="K429" s="8" t="n"/>
      <c r="L429" s="8" t="n"/>
      <c r="M429" s="8" t="n"/>
      <c r="N429" s="8" t="n"/>
      <c r="O429" s="8" t="n"/>
      <c r="P429" s="8" t="n"/>
      <c r="Q429" s="8" t="n"/>
      <c r="R429" s="8" t="n"/>
      <c r="S429" s="8" t="n"/>
      <c r="T429" s="8" t="n"/>
      <c r="U429" s="8" t="n"/>
      <c r="V429" s="8" t="n"/>
      <c r="W429" s="8" t="n"/>
      <c r="X429" s="8" t="n"/>
      <c r="Y429" s="8" t="n"/>
      <c r="Z429" s="8" t="n"/>
      <c r="AA429" s="8" t="n"/>
      <c r="AB429" s="8" t="n"/>
      <c r="AC429" s="8" t="n"/>
      <c r="AD429" s="8" t="n"/>
      <c r="AE429" s="8" t="n"/>
      <c r="AF429" s="8" t="n"/>
      <c r="AG429" s="8" t="n"/>
      <c r="AH429" s="8" t="n"/>
      <c r="AI429" s="8" t="n"/>
      <c r="AJ429" s="8" t="n"/>
      <c r="AK429" s="8" t="n"/>
      <c r="AL429" s="8" t="n"/>
      <c r="AM429" s="8" t="n"/>
      <c r="AN429" s="8" t="n"/>
      <c r="AO429" s="8" t="n"/>
      <c r="AP429" s="8" t="n"/>
      <c r="AQ429" s="8" t="n"/>
      <c r="AR429" s="8" t="n"/>
      <c r="AS429" s="8" t="n"/>
      <c r="AT429" s="8" t="n"/>
      <c r="AU429" s="8" t="n"/>
      <c r="AV429" s="8" t="n"/>
      <c r="AW429" s="8" t="n"/>
      <c r="AX429" s="8" t="n"/>
      <c r="AY429" s="8" t="n"/>
      <c r="AZ429" s="8" t="n"/>
    </row>
    <row r="430" customFormat="1" s="12">
      <c r="D430" s="13" t="n"/>
      <c r="E430" s="8" t="n"/>
      <c r="F430" s="8" t="n"/>
      <c r="G430" s="8" t="n"/>
      <c r="H430" s="8" t="n"/>
      <c r="I430" s="8" t="n"/>
      <c r="J430" s="8" t="n"/>
      <c r="K430" s="8" t="n"/>
      <c r="L430" s="8" t="n"/>
      <c r="M430" s="8" t="n"/>
      <c r="N430" s="8" t="n"/>
      <c r="O430" s="8" t="n"/>
      <c r="P430" s="8" t="n"/>
      <c r="Q430" s="8" t="n"/>
      <c r="R430" s="8" t="n"/>
      <c r="S430" s="8" t="n"/>
      <c r="T430" s="8" t="n"/>
      <c r="U430" s="8" t="n"/>
      <c r="V430" s="8" t="n"/>
      <c r="W430" s="8" t="n"/>
      <c r="X430" s="8" t="n"/>
      <c r="Y430" s="8" t="n"/>
      <c r="Z430" s="8" t="n"/>
      <c r="AA430" s="8" t="n"/>
      <c r="AB430" s="8" t="n"/>
      <c r="AC430" s="8" t="n"/>
      <c r="AD430" s="8" t="n"/>
      <c r="AE430" s="8" t="n"/>
      <c r="AF430" s="8" t="n"/>
      <c r="AG430" s="8" t="n"/>
      <c r="AH430" s="8" t="n"/>
      <c r="AI430" s="8" t="n"/>
      <c r="AJ430" s="8" t="n"/>
      <c r="AK430" s="8" t="n"/>
      <c r="AL430" s="8" t="n"/>
      <c r="AM430" s="8" t="n"/>
      <c r="AN430" s="8" t="n"/>
      <c r="AO430" s="8" t="n"/>
      <c r="AP430" s="8" t="n"/>
      <c r="AQ430" s="8" t="n"/>
      <c r="AR430" s="8" t="n"/>
      <c r="AS430" s="8" t="n"/>
      <c r="AT430" s="8" t="n"/>
      <c r="AU430" s="8" t="n"/>
      <c r="AV430" s="8" t="n"/>
      <c r="AW430" s="8" t="n"/>
      <c r="AX430" s="8" t="n"/>
      <c r="AY430" s="8" t="n"/>
      <c r="AZ430" s="8" t="n"/>
    </row>
    <row r="431" customFormat="1" s="12">
      <c r="D431" s="13" t="n"/>
      <c r="E431" s="8" t="n"/>
      <c r="F431" s="8" t="n"/>
      <c r="G431" s="8" t="n"/>
      <c r="H431" s="8" t="n"/>
      <c r="I431" s="8" t="n"/>
      <c r="J431" s="8" t="n"/>
      <c r="K431" s="8" t="n"/>
      <c r="L431" s="8" t="n"/>
      <c r="M431" s="8" t="n"/>
      <c r="N431" s="8" t="n"/>
      <c r="O431" s="8" t="n"/>
      <c r="P431" s="8" t="n"/>
      <c r="Q431" s="8" t="n"/>
      <c r="R431" s="8" t="n"/>
      <c r="S431" s="8" t="n"/>
      <c r="T431" s="8" t="n"/>
      <c r="U431" s="8" t="n"/>
      <c r="V431" s="8" t="n"/>
      <c r="W431" s="8" t="n"/>
      <c r="X431" s="8" t="n"/>
      <c r="Y431" s="8" t="n"/>
      <c r="Z431" s="8" t="n"/>
      <c r="AA431" s="8" t="n"/>
      <c r="AB431" s="8" t="n"/>
      <c r="AC431" s="8" t="n"/>
      <c r="AD431" s="8" t="n"/>
      <c r="AE431" s="8" t="n"/>
      <c r="AF431" s="8" t="n"/>
      <c r="AG431" s="8" t="n"/>
      <c r="AH431" s="8" t="n"/>
      <c r="AI431" s="8" t="n"/>
      <c r="AJ431" s="8" t="n"/>
      <c r="AK431" s="8" t="n"/>
      <c r="AL431" s="8" t="n"/>
      <c r="AM431" s="8" t="n"/>
      <c r="AN431" s="8" t="n"/>
      <c r="AO431" s="8" t="n"/>
      <c r="AP431" s="8" t="n"/>
      <c r="AQ431" s="8" t="n"/>
      <c r="AR431" s="8" t="n"/>
      <c r="AS431" s="8" t="n"/>
      <c r="AT431" s="8" t="n"/>
      <c r="AU431" s="8" t="n"/>
      <c r="AV431" s="8" t="n"/>
      <c r="AW431" s="8" t="n"/>
      <c r="AX431" s="8" t="n"/>
      <c r="AY431" s="8" t="n"/>
      <c r="AZ431" s="8" t="n"/>
    </row>
    <row r="432" customFormat="1" s="12">
      <c r="D432" s="13" t="n"/>
      <c r="E432" s="8" t="n"/>
      <c r="F432" s="8" t="n"/>
      <c r="G432" s="8" t="n"/>
      <c r="H432" s="8" t="n"/>
      <c r="I432" s="8" t="n"/>
      <c r="J432" s="8" t="n"/>
      <c r="K432" s="8" t="n"/>
      <c r="L432" s="8" t="n"/>
      <c r="M432" s="8" t="n"/>
      <c r="N432" s="8" t="n"/>
      <c r="O432" s="8" t="n"/>
      <c r="P432" s="8" t="n"/>
      <c r="Q432" s="8" t="n"/>
      <c r="R432" s="8" t="n"/>
      <c r="S432" s="8" t="n"/>
      <c r="T432" s="8" t="n"/>
      <c r="U432" s="8" t="n"/>
      <c r="V432" s="8" t="n"/>
      <c r="W432" s="8" t="n"/>
      <c r="X432" s="8" t="n"/>
      <c r="Y432" s="8" t="n"/>
      <c r="Z432" s="8" t="n"/>
      <c r="AA432" s="8" t="n"/>
      <c r="AB432" s="8" t="n"/>
      <c r="AC432" s="8" t="n"/>
      <c r="AD432" s="8" t="n"/>
      <c r="AE432" s="8" t="n"/>
      <c r="AF432" s="8" t="n"/>
      <c r="AG432" s="8" t="n"/>
      <c r="AH432" s="8" t="n"/>
      <c r="AI432" s="8" t="n"/>
      <c r="AJ432" s="8" t="n"/>
      <c r="AK432" s="8" t="n"/>
      <c r="AL432" s="8" t="n"/>
      <c r="AM432" s="8" t="n"/>
      <c r="AN432" s="8" t="n"/>
      <c r="AO432" s="8" t="n"/>
      <c r="AP432" s="8" t="n"/>
      <c r="AQ432" s="8" t="n"/>
      <c r="AR432" s="8" t="n"/>
      <c r="AS432" s="8" t="n"/>
      <c r="AT432" s="8" t="n"/>
      <c r="AU432" s="8" t="n"/>
      <c r="AV432" s="8" t="n"/>
      <c r="AW432" s="8" t="n"/>
      <c r="AX432" s="8" t="n"/>
      <c r="AY432" s="8" t="n"/>
      <c r="AZ432" s="8" t="n"/>
    </row>
    <row r="433" customFormat="1" s="12">
      <c r="D433" s="13" t="n"/>
      <c r="E433" s="8" t="n"/>
      <c r="F433" s="8" t="n"/>
      <c r="G433" s="8" t="n"/>
      <c r="H433" s="8" t="n"/>
      <c r="I433" s="8" t="n"/>
      <c r="J433" s="8" t="n"/>
      <c r="K433" s="8" t="n"/>
      <c r="L433" s="8" t="n"/>
      <c r="M433" s="8" t="n"/>
      <c r="N433" s="8" t="n"/>
      <c r="O433" s="8" t="n"/>
      <c r="P433" s="8" t="n"/>
      <c r="Q433" s="8" t="n"/>
      <c r="R433" s="8" t="n"/>
      <c r="S433" s="8" t="n"/>
      <c r="T433" s="8" t="n"/>
      <c r="U433" s="8" t="n"/>
      <c r="V433" s="8" t="n"/>
      <c r="W433" s="8" t="n"/>
      <c r="X433" s="8" t="n"/>
      <c r="Y433" s="8" t="n"/>
      <c r="Z433" s="8" t="n"/>
      <c r="AA433" s="8" t="n"/>
      <c r="AB433" s="8" t="n"/>
      <c r="AC433" s="8" t="n"/>
      <c r="AD433" s="8" t="n"/>
      <c r="AE433" s="8" t="n"/>
      <c r="AF433" s="8" t="n"/>
      <c r="AG433" s="8" t="n"/>
      <c r="AH433" s="8" t="n"/>
      <c r="AI433" s="8" t="n"/>
      <c r="AJ433" s="8" t="n"/>
      <c r="AK433" s="8" t="n"/>
      <c r="AL433" s="8" t="n"/>
      <c r="AM433" s="8" t="n"/>
      <c r="AN433" s="8" t="n"/>
      <c r="AO433" s="8" t="n"/>
      <c r="AP433" s="8" t="n"/>
      <c r="AQ433" s="8" t="n"/>
      <c r="AR433" s="8" t="n"/>
      <c r="AS433" s="8" t="n"/>
      <c r="AT433" s="8" t="n"/>
      <c r="AU433" s="8" t="n"/>
      <c r="AV433" s="8" t="n"/>
      <c r="AW433" s="8" t="n"/>
      <c r="AX433" s="8" t="n"/>
      <c r="AY433" s="8" t="n"/>
      <c r="AZ433" s="8" t="n"/>
    </row>
    <row r="434" customFormat="1" s="12">
      <c r="D434" s="13" t="n"/>
      <c r="E434" s="8" t="n"/>
      <c r="F434" s="8" t="n"/>
      <c r="G434" s="8" t="n"/>
      <c r="H434" s="8" t="n"/>
      <c r="I434" s="8" t="n"/>
      <c r="J434" s="8" t="n"/>
      <c r="K434" s="8" t="n"/>
      <c r="L434" s="8" t="n"/>
      <c r="M434" s="8" t="n"/>
      <c r="N434" s="8" t="n"/>
      <c r="O434" s="8" t="n"/>
      <c r="P434" s="8" t="n"/>
      <c r="Q434" s="8" t="n"/>
      <c r="R434" s="8" t="n"/>
      <c r="S434" s="8" t="n"/>
      <c r="T434" s="8" t="n"/>
      <c r="U434" s="8" t="n"/>
      <c r="V434" s="8" t="n"/>
      <c r="W434" s="8" t="n"/>
      <c r="X434" s="8" t="n"/>
      <c r="Y434" s="8" t="n"/>
      <c r="Z434" s="8" t="n"/>
      <c r="AA434" s="8" t="n"/>
      <c r="AB434" s="8" t="n"/>
      <c r="AC434" s="8" t="n"/>
      <c r="AD434" s="8" t="n"/>
      <c r="AE434" s="8" t="n"/>
      <c r="AF434" s="8" t="n"/>
      <c r="AG434" s="8" t="n"/>
      <c r="AH434" s="8" t="n"/>
      <c r="AI434" s="8" t="n"/>
      <c r="AJ434" s="8" t="n"/>
      <c r="AK434" s="8" t="n"/>
      <c r="AL434" s="8" t="n"/>
      <c r="AM434" s="8" t="n"/>
      <c r="AN434" s="8" t="n"/>
      <c r="AO434" s="8" t="n"/>
      <c r="AP434" s="8" t="n"/>
      <c r="AQ434" s="8" t="n"/>
      <c r="AR434" s="8" t="n"/>
      <c r="AS434" s="8" t="n"/>
      <c r="AT434" s="8" t="n"/>
      <c r="AU434" s="8" t="n"/>
      <c r="AV434" s="8" t="n"/>
      <c r="AW434" s="8" t="n"/>
      <c r="AX434" s="8" t="n"/>
      <c r="AY434" s="8" t="n"/>
      <c r="AZ434" s="8" t="n"/>
    </row>
    <row r="435" customFormat="1" s="12">
      <c r="D435" s="13" t="n"/>
      <c r="E435" s="8" t="n"/>
      <c r="F435" s="8" t="n"/>
      <c r="G435" s="8" t="n"/>
      <c r="H435" s="8" t="n"/>
      <c r="I435" s="8" t="n"/>
      <c r="J435" s="8" t="n"/>
      <c r="K435" s="8" t="n"/>
      <c r="L435" s="8" t="n"/>
      <c r="M435" s="8" t="n"/>
      <c r="N435" s="8" t="n"/>
      <c r="O435" s="8" t="n"/>
      <c r="P435" s="8" t="n"/>
      <c r="Q435" s="8" t="n"/>
      <c r="R435" s="8" t="n"/>
      <c r="S435" s="8" t="n"/>
      <c r="T435" s="8" t="n"/>
      <c r="U435" s="8" t="n"/>
      <c r="V435" s="8" t="n"/>
      <c r="W435" s="8" t="n"/>
      <c r="X435" s="8" t="n"/>
      <c r="Y435" s="8" t="n"/>
      <c r="Z435" s="8" t="n"/>
      <c r="AA435" s="8" t="n"/>
      <c r="AB435" s="8" t="n"/>
      <c r="AC435" s="8" t="n"/>
      <c r="AD435" s="8" t="n"/>
      <c r="AE435" s="8" t="n"/>
      <c r="AF435" s="8" t="n"/>
      <c r="AG435" s="8" t="n"/>
      <c r="AH435" s="8" t="n"/>
      <c r="AI435" s="8" t="n"/>
      <c r="AJ435" s="8" t="n"/>
      <c r="AK435" s="8" t="n"/>
      <c r="AL435" s="8" t="n"/>
      <c r="AM435" s="8" t="n"/>
      <c r="AN435" s="8" t="n"/>
      <c r="AO435" s="8" t="n"/>
      <c r="AP435" s="8" t="n"/>
      <c r="AQ435" s="8" t="n"/>
      <c r="AR435" s="8" t="n"/>
      <c r="AS435" s="8" t="n"/>
      <c r="AT435" s="8" t="n"/>
      <c r="AU435" s="8" t="n"/>
      <c r="AV435" s="8" t="n"/>
      <c r="AW435" s="8" t="n"/>
      <c r="AX435" s="8" t="n"/>
      <c r="AY435" s="8" t="n"/>
      <c r="AZ435" s="8" t="n"/>
    </row>
    <row r="436" customFormat="1" s="12">
      <c r="D436" s="13" t="n"/>
      <c r="E436" s="8" t="n"/>
      <c r="F436" s="8" t="n"/>
      <c r="G436" s="8" t="n"/>
      <c r="H436" s="8" t="n"/>
      <c r="I436" s="8" t="n"/>
      <c r="J436" s="8" t="n"/>
      <c r="K436" s="8" t="n"/>
      <c r="L436" s="8" t="n"/>
      <c r="M436" s="8" t="n"/>
      <c r="N436" s="8" t="n"/>
      <c r="O436" s="8" t="n"/>
      <c r="P436" s="8" t="n"/>
      <c r="Q436" s="8" t="n"/>
      <c r="R436" s="8" t="n"/>
      <c r="S436" s="8" t="n"/>
      <c r="T436" s="8" t="n"/>
      <c r="U436" s="8" t="n"/>
      <c r="V436" s="8" t="n"/>
      <c r="W436" s="8" t="n"/>
      <c r="X436" s="8" t="n"/>
      <c r="Y436" s="8" t="n"/>
      <c r="Z436" s="8" t="n"/>
      <c r="AA436" s="8" t="n"/>
      <c r="AB436" s="8" t="n"/>
      <c r="AC436" s="8" t="n"/>
      <c r="AD436" s="8" t="n"/>
      <c r="AE436" s="8" t="n"/>
      <c r="AF436" s="8" t="n"/>
      <c r="AG436" s="8" t="n"/>
      <c r="AH436" s="8" t="n"/>
      <c r="AI436" s="8" t="n"/>
      <c r="AJ436" s="8" t="n"/>
      <c r="AK436" s="8" t="n"/>
      <c r="AL436" s="8" t="n"/>
      <c r="AM436" s="8" t="n"/>
      <c r="AN436" s="8" t="n"/>
      <c r="AO436" s="8" t="n"/>
      <c r="AP436" s="8" t="n"/>
      <c r="AQ436" s="8" t="n"/>
      <c r="AR436" s="8" t="n"/>
      <c r="AS436" s="8" t="n"/>
      <c r="AT436" s="8" t="n"/>
      <c r="AU436" s="8" t="n"/>
      <c r="AV436" s="8" t="n"/>
      <c r="AW436" s="8" t="n"/>
      <c r="AX436" s="8" t="n"/>
      <c r="AY436" s="8" t="n"/>
      <c r="AZ436" s="8" t="n"/>
    </row>
    <row r="437" customFormat="1" s="12">
      <c r="D437" s="13" t="n"/>
      <c r="E437" s="8" t="n"/>
      <c r="F437" s="8" t="n"/>
      <c r="G437" s="8" t="n"/>
      <c r="H437" s="8" t="n"/>
      <c r="I437" s="8" t="n"/>
      <c r="J437" s="8" t="n"/>
      <c r="K437" s="8" t="n"/>
      <c r="L437" s="8" t="n"/>
      <c r="M437" s="8" t="n"/>
      <c r="N437" s="8" t="n"/>
      <c r="O437" s="8" t="n"/>
      <c r="P437" s="8" t="n"/>
      <c r="Q437" s="8" t="n"/>
      <c r="R437" s="8" t="n"/>
      <c r="S437" s="8" t="n"/>
      <c r="T437" s="8" t="n"/>
      <c r="U437" s="8" t="n"/>
      <c r="V437" s="8" t="n"/>
      <c r="W437" s="8" t="n"/>
      <c r="X437" s="8" t="n"/>
      <c r="Y437" s="8" t="n"/>
      <c r="Z437" s="8" t="n"/>
      <c r="AA437" s="8" t="n"/>
      <c r="AB437" s="8" t="n"/>
      <c r="AC437" s="8" t="n"/>
      <c r="AD437" s="8" t="n"/>
      <c r="AE437" s="8" t="n"/>
      <c r="AF437" s="8" t="n"/>
      <c r="AG437" s="8" t="n"/>
      <c r="AH437" s="8" t="n"/>
      <c r="AI437" s="8" t="n"/>
      <c r="AJ437" s="8" t="n"/>
      <c r="AK437" s="8" t="n"/>
      <c r="AL437" s="8" t="n"/>
      <c r="AM437" s="8" t="n"/>
      <c r="AN437" s="8" t="n"/>
      <c r="AO437" s="8" t="n"/>
      <c r="AP437" s="8" t="n"/>
      <c r="AQ437" s="8" t="n"/>
      <c r="AR437" s="8" t="n"/>
      <c r="AS437" s="8" t="n"/>
      <c r="AT437" s="8" t="n"/>
      <c r="AU437" s="8" t="n"/>
      <c r="AV437" s="8" t="n"/>
      <c r="AW437" s="8" t="n"/>
      <c r="AX437" s="8" t="n"/>
      <c r="AY437" s="8" t="n"/>
      <c r="AZ437" s="8" t="n"/>
    </row>
    <row r="438" customFormat="1" s="12">
      <c r="D438" s="13" t="n"/>
      <c r="E438" s="8" t="n"/>
      <c r="F438" s="8" t="n"/>
      <c r="G438" s="8" t="n"/>
      <c r="H438" s="8" t="n"/>
      <c r="I438" s="8" t="n"/>
      <c r="J438" s="8" t="n"/>
      <c r="K438" s="8" t="n"/>
      <c r="L438" s="8" t="n"/>
      <c r="M438" s="8" t="n"/>
      <c r="N438" s="8" t="n"/>
      <c r="O438" s="8" t="n"/>
      <c r="P438" s="8" t="n"/>
      <c r="Q438" s="8" t="n"/>
      <c r="R438" s="8" t="n"/>
      <c r="S438" s="8" t="n"/>
      <c r="T438" s="8" t="n"/>
      <c r="U438" s="8" t="n"/>
      <c r="V438" s="8" t="n"/>
      <c r="W438" s="8" t="n"/>
      <c r="X438" s="8" t="n"/>
      <c r="Y438" s="8" t="n"/>
      <c r="Z438" s="8" t="n"/>
      <c r="AA438" s="8" t="n"/>
      <c r="AB438" s="8" t="n"/>
      <c r="AC438" s="8" t="n"/>
      <c r="AD438" s="8" t="n"/>
      <c r="AE438" s="8" t="n"/>
      <c r="AF438" s="8" t="n"/>
      <c r="AG438" s="8" t="n"/>
      <c r="AH438" s="8" t="n"/>
      <c r="AI438" s="8" t="n"/>
      <c r="AJ438" s="8" t="n"/>
      <c r="AK438" s="8" t="n"/>
      <c r="AL438" s="8" t="n"/>
      <c r="AM438" s="8" t="n"/>
      <c r="AN438" s="8" t="n"/>
      <c r="AO438" s="8" t="n"/>
      <c r="AP438" s="8" t="n"/>
      <c r="AQ438" s="8" t="n"/>
      <c r="AR438" s="8" t="n"/>
      <c r="AS438" s="8" t="n"/>
      <c r="AT438" s="8" t="n"/>
      <c r="AU438" s="8" t="n"/>
      <c r="AV438" s="8" t="n"/>
      <c r="AW438" s="8" t="n"/>
      <c r="AX438" s="8" t="n"/>
      <c r="AY438" s="8" t="n"/>
      <c r="AZ438" s="8" t="n"/>
    </row>
    <row r="439" customFormat="1" s="12">
      <c r="D439" s="13" t="n"/>
      <c r="E439" s="8" t="n"/>
      <c r="F439" s="8" t="n"/>
      <c r="G439" s="8" t="n"/>
      <c r="H439" s="8" t="n"/>
      <c r="I439" s="8" t="n"/>
      <c r="J439" s="8" t="n"/>
      <c r="K439" s="8" t="n"/>
      <c r="L439" s="8" t="n"/>
      <c r="M439" s="8" t="n"/>
      <c r="N439" s="8" t="n"/>
      <c r="O439" s="8" t="n"/>
      <c r="P439" s="8" t="n"/>
      <c r="Q439" s="8" t="n"/>
      <c r="R439" s="8" t="n"/>
      <c r="S439" s="8" t="n"/>
      <c r="T439" s="8" t="n"/>
      <c r="U439" s="8" t="n"/>
      <c r="V439" s="8" t="n"/>
      <c r="W439" s="8" t="n"/>
      <c r="X439" s="8" t="n"/>
      <c r="Y439" s="8" t="n"/>
      <c r="Z439" s="8" t="n"/>
      <c r="AA439" s="8" t="n"/>
      <c r="AB439" s="8" t="n"/>
      <c r="AC439" s="8" t="n"/>
      <c r="AD439" s="8" t="n"/>
      <c r="AE439" s="8" t="n"/>
      <c r="AF439" s="8" t="n"/>
      <c r="AG439" s="8" t="n"/>
      <c r="AH439" s="8" t="n"/>
      <c r="AI439" s="8" t="n"/>
      <c r="AJ439" s="8" t="n"/>
      <c r="AK439" s="8" t="n"/>
      <c r="AL439" s="8" t="n"/>
      <c r="AM439" s="8" t="n"/>
      <c r="AN439" s="8" t="n"/>
      <c r="AO439" s="8" t="n"/>
      <c r="AP439" s="8" t="n"/>
      <c r="AQ439" s="8" t="n"/>
      <c r="AR439" s="8" t="n"/>
      <c r="AS439" s="8" t="n"/>
      <c r="AT439" s="8" t="n"/>
      <c r="AU439" s="8" t="n"/>
      <c r="AV439" s="8" t="n"/>
      <c r="AW439" s="8" t="n"/>
      <c r="AX439" s="8" t="n"/>
      <c r="AY439" s="8" t="n"/>
      <c r="AZ439" s="8" t="n"/>
    </row>
    <row r="440" customFormat="1" s="12">
      <c r="D440" s="13" t="n"/>
      <c r="E440" s="8" t="n"/>
      <c r="F440" s="8" t="n"/>
      <c r="G440" s="8" t="n"/>
      <c r="H440" s="8" t="n"/>
      <c r="I440" s="8" t="n"/>
      <c r="J440" s="8" t="n"/>
      <c r="K440" s="8" t="n"/>
      <c r="L440" s="8" t="n"/>
      <c r="M440" s="8" t="n"/>
      <c r="N440" s="8" t="n"/>
      <c r="O440" s="8" t="n"/>
      <c r="P440" s="8" t="n"/>
      <c r="Q440" s="8" t="n"/>
      <c r="R440" s="8" t="n"/>
      <c r="S440" s="8" t="n"/>
      <c r="T440" s="8" t="n"/>
      <c r="U440" s="8" t="n"/>
      <c r="V440" s="8" t="n"/>
      <c r="W440" s="8" t="n"/>
      <c r="X440" s="8" t="n"/>
      <c r="Y440" s="8" t="n"/>
      <c r="Z440" s="8" t="n"/>
      <c r="AA440" s="8" t="n"/>
      <c r="AB440" s="8" t="n"/>
      <c r="AC440" s="8" t="n"/>
      <c r="AD440" s="8" t="n"/>
      <c r="AE440" s="8" t="n"/>
      <c r="AF440" s="8" t="n"/>
      <c r="AG440" s="8" t="n"/>
      <c r="AH440" s="8" t="n"/>
      <c r="AI440" s="8" t="n"/>
      <c r="AJ440" s="8" t="n"/>
      <c r="AK440" s="8" t="n"/>
      <c r="AL440" s="8" t="n"/>
      <c r="AM440" s="8" t="n"/>
      <c r="AN440" s="8" t="n"/>
      <c r="AO440" s="8" t="n"/>
      <c r="AP440" s="8" t="n"/>
      <c r="AQ440" s="8" t="n"/>
      <c r="AR440" s="8" t="n"/>
      <c r="AS440" s="8" t="n"/>
      <c r="AT440" s="8" t="n"/>
      <c r="AU440" s="8" t="n"/>
      <c r="AV440" s="8" t="n"/>
      <c r="AW440" s="8" t="n"/>
      <c r="AX440" s="8" t="n"/>
      <c r="AY440" s="8" t="n"/>
      <c r="AZ440" s="8" t="n"/>
    </row>
    <row r="441" customFormat="1" s="12">
      <c r="D441" s="13" t="n"/>
      <c r="E441" s="8" t="n"/>
      <c r="F441" s="8" t="n"/>
      <c r="G441" s="8" t="n"/>
      <c r="H441" s="8" t="n"/>
      <c r="I441" s="8" t="n"/>
      <c r="J441" s="8" t="n"/>
      <c r="K441" s="8" t="n"/>
      <c r="L441" s="8" t="n"/>
      <c r="M441" s="8" t="n"/>
      <c r="N441" s="8" t="n"/>
      <c r="O441" s="8" t="n"/>
      <c r="P441" s="8" t="n"/>
      <c r="Q441" s="8" t="n"/>
      <c r="R441" s="8" t="n"/>
      <c r="S441" s="8" t="n"/>
      <c r="T441" s="8" t="n"/>
      <c r="U441" s="8" t="n"/>
      <c r="V441" s="8" t="n"/>
      <c r="W441" s="8" t="n"/>
      <c r="X441" s="8" t="n"/>
      <c r="Y441" s="8" t="n"/>
      <c r="Z441" s="8" t="n"/>
      <c r="AA441" s="8" t="n"/>
      <c r="AB441" s="8" t="n"/>
      <c r="AC441" s="8" t="n"/>
      <c r="AD441" s="8" t="n"/>
      <c r="AE441" s="8" t="n"/>
      <c r="AF441" s="8" t="n"/>
      <c r="AG441" s="8" t="n"/>
      <c r="AH441" s="8" t="n"/>
      <c r="AI441" s="8" t="n"/>
      <c r="AJ441" s="8" t="n"/>
      <c r="AK441" s="8" t="n"/>
      <c r="AL441" s="8" t="n"/>
      <c r="AM441" s="8" t="n"/>
      <c r="AN441" s="8" t="n"/>
      <c r="AO441" s="8" t="n"/>
      <c r="AP441" s="8" t="n"/>
      <c r="AQ441" s="8" t="n"/>
      <c r="AR441" s="8" t="n"/>
      <c r="AS441" s="8" t="n"/>
      <c r="AT441" s="8" t="n"/>
      <c r="AU441" s="8" t="n"/>
      <c r="AV441" s="8" t="n"/>
      <c r="AW441" s="8" t="n"/>
      <c r="AX441" s="8" t="n"/>
      <c r="AY441" s="8" t="n"/>
      <c r="AZ441" s="8" t="n"/>
    </row>
    <row r="442" customFormat="1" s="12">
      <c r="D442" s="13" t="n"/>
      <c r="E442" s="8" t="n"/>
      <c r="F442" s="8" t="n"/>
      <c r="G442" s="8" t="n"/>
      <c r="H442" s="8" t="n"/>
      <c r="I442" s="8" t="n"/>
      <c r="J442" s="8" t="n"/>
      <c r="K442" s="8" t="n"/>
      <c r="L442" s="8" t="n"/>
      <c r="M442" s="8" t="n"/>
      <c r="N442" s="8" t="n"/>
      <c r="O442" s="8" t="n"/>
      <c r="P442" s="8" t="n"/>
      <c r="Q442" s="8" t="n"/>
      <c r="R442" s="8" t="n"/>
      <c r="S442" s="8" t="n"/>
      <c r="T442" s="8" t="n"/>
      <c r="U442" s="8" t="n"/>
      <c r="V442" s="8" t="n"/>
      <c r="W442" s="8" t="n"/>
      <c r="X442" s="8" t="n"/>
      <c r="Y442" s="8" t="n"/>
      <c r="Z442" s="8" t="n"/>
      <c r="AA442" s="8" t="n"/>
      <c r="AB442" s="8" t="n"/>
      <c r="AC442" s="8" t="n"/>
      <c r="AD442" s="8" t="n"/>
      <c r="AE442" s="8" t="n"/>
      <c r="AF442" s="8" t="n"/>
      <c r="AG442" s="8" t="n"/>
      <c r="AH442" s="8" t="n"/>
      <c r="AI442" s="8" t="n"/>
      <c r="AJ442" s="8" t="n"/>
      <c r="AK442" s="8" t="n"/>
      <c r="AL442" s="8" t="n"/>
      <c r="AM442" s="8" t="n"/>
      <c r="AN442" s="8" t="n"/>
      <c r="AO442" s="8" t="n"/>
      <c r="AP442" s="8" t="n"/>
      <c r="AQ442" s="8" t="n"/>
      <c r="AR442" s="8" t="n"/>
      <c r="AS442" s="8" t="n"/>
      <c r="AT442" s="8" t="n"/>
      <c r="AU442" s="8" t="n"/>
      <c r="AV442" s="8" t="n"/>
      <c r="AW442" s="8" t="n"/>
      <c r="AX442" s="8" t="n"/>
      <c r="AY442" s="8" t="n"/>
      <c r="AZ442" s="8" t="n"/>
    </row>
    <row r="443" customFormat="1" s="12">
      <c r="D443" s="13" t="n"/>
      <c r="E443" s="8" t="n"/>
      <c r="F443" s="8" t="n"/>
      <c r="G443" s="8" t="n"/>
      <c r="H443" s="8" t="n"/>
      <c r="I443" s="8" t="n"/>
      <c r="J443" s="8" t="n"/>
      <c r="K443" s="8" t="n"/>
      <c r="L443" s="8" t="n"/>
      <c r="M443" s="8" t="n"/>
      <c r="N443" s="8" t="n"/>
      <c r="O443" s="8" t="n"/>
      <c r="P443" s="8" t="n"/>
      <c r="Q443" s="8" t="n"/>
      <c r="R443" s="8" t="n"/>
      <c r="S443" s="8" t="n"/>
      <c r="T443" s="8" t="n"/>
      <c r="U443" s="8" t="n"/>
      <c r="V443" s="8" t="n"/>
      <c r="W443" s="8" t="n"/>
      <c r="X443" s="8" t="n"/>
      <c r="Y443" s="8" t="n"/>
      <c r="Z443" s="8" t="n"/>
      <c r="AA443" s="8" t="n"/>
      <c r="AB443" s="8" t="n"/>
      <c r="AC443" s="8" t="n"/>
      <c r="AD443" s="8" t="n"/>
      <c r="AE443" s="8" t="n"/>
      <c r="AF443" s="8" t="n"/>
      <c r="AG443" s="8" t="n"/>
      <c r="AH443" s="8" t="n"/>
      <c r="AI443" s="8" t="n"/>
      <c r="AJ443" s="8" t="n"/>
      <c r="AK443" s="8" t="n"/>
      <c r="AL443" s="8" t="n"/>
      <c r="AM443" s="8" t="n"/>
      <c r="AN443" s="8" t="n"/>
      <c r="AO443" s="8" t="n"/>
      <c r="AP443" s="8" t="n"/>
      <c r="AQ443" s="8" t="n"/>
      <c r="AR443" s="8" t="n"/>
      <c r="AS443" s="8" t="n"/>
      <c r="AT443" s="8" t="n"/>
      <c r="AU443" s="8" t="n"/>
      <c r="AV443" s="8" t="n"/>
      <c r="AW443" s="8" t="n"/>
      <c r="AX443" s="8" t="n"/>
      <c r="AY443" s="8" t="n"/>
      <c r="AZ443" s="8" t="n"/>
    </row>
    <row r="444" customFormat="1" s="12">
      <c r="D444" s="13" t="n"/>
      <c r="E444" s="8" t="n"/>
      <c r="F444" s="8" t="n"/>
      <c r="G444" s="8" t="n"/>
      <c r="H444" s="8" t="n"/>
      <c r="I444" s="8" t="n"/>
      <c r="J444" s="8" t="n"/>
      <c r="K444" s="8" t="n"/>
      <c r="L444" s="8" t="n"/>
      <c r="M444" s="8" t="n"/>
      <c r="N444" s="8" t="n"/>
      <c r="O444" s="8" t="n"/>
      <c r="P444" s="8" t="n"/>
      <c r="Q444" s="8" t="n"/>
      <c r="R444" s="8" t="n"/>
      <c r="S444" s="8" t="n"/>
      <c r="T444" s="8" t="n"/>
      <c r="U444" s="8" t="n"/>
      <c r="V444" s="8" t="n"/>
      <c r="W444" s="8" t="n"/>
      <c r="X444" s="8" t="n"/>
      <c r="Y444" s="8" t="n"/>
      <c r="Z444" s="8" t="n"/>
      <c r="AA444" s="8" t="n"/>
      <c r="AB444" s="8" t="n"/>
      <c r="AC444" s="8" t="n"/>
      <c r="AD444" s="8" t="n"/>
      <c r="AE444" s="8" t="n"/>
      <c r="AF444" s="8" t="n"/>
      <c r="AG444" s="8" t="n"/>
      <c r="AH444" s="8" t="n"/>
      <c r="AI444" s="8" t="n"/>
      <c r="AJ444" s="8" t="n"/>
      <c r="AK444" s="8" t="n"/>
      <c r="AL444" s="8" t="n"/>
      <c r="AM444" s="8" t="n"/>
      <c r="AN444" s="8" t="n"/>
      <c r="AO444" s="8" t="n"/>
      <c r="AP444" s="8" t="n"/>
      <c r="AQ444" s="8" t="n"/>
      <c r="AR444" s="8" t="n"/>
      <c r="AS444" s="8" t="n"/>
      <c r="AT444" s="8" t="n"/>
      <c r="AU444" s="8" t="n"/>
      <c r="AV444" s="8" t="n"/>
      <c r="AW444" s="8" t="n"/>
      <c r="AX444" s="8" t="n"/>
      <c r="AY444" s="8" t="n"/>
      <c r="AZ444" s="8" t="n"/>
    </row>
    <row r="445" customFormat="1" s="12">
      <c r="D445" s="13" t="n"/>
      <c r="E445" s="8" t="n"/>
      <c r="F445" s="8" t="n"/>
      <c r="G445" s="8" t="n"/>
      <c r="H445" s="8" t="n"/>
      <c r="I445" s="8" t="n"/>
      <c r="J445" s="8" t="n"/>
      <c r="K445" s="8" t="n"/>
      <c r="L445" s="8" t="n"/>
      <c r="M445" s="8" t="n"/>
      <c r="N445" s="8" t="n"/>
      <c r="O445" s="8" t="n"/>
      <c r="P445" s="8" t="n"/>
      <c r="Q445" s="8" t="n"/>
      <c r="R445" s="8" t="n"/>
      <c r="S445" s="8" t="n"/>
      <c r="T445" s="8" t="n"/>
      <c r="U445" s="8" t="n"/>
      <c r="V445" s="8" t="n"/>
      <c r="W445" s="8" t="n"/>
      <c r="X445" s="8" t="n"/>
      <c r="Y445" s="8" t="n"/>
      <c r="Z445" s="8" t="n"/>
      <c r="AA445" s="8" t="n"/>
      <c r="AB445" s="8" t="n"/>
      <c r="AC445" s="8" t="n"/>
      <c r="AD445" s="8" t="n"/>
      <c r="AE445" s="8" t="n"/>
      <c r="AF445" s="8" t="n"/>
      <c r="AG445" s="8" t="n"/>
      <c r="AH445" s="8" t="n"/>
      <c r="AI445" s="8" t="n"/>
      <c r="AJ445" s="8" t="n"/>
      <c r="AK445" s="8" t="n"/>
      <c r="AL445" s="8" t="n"/>
      <c r="AM445" s="8" t="n"/>
      <c r="AN445" s="8" t="n"/>
      <c r="AO445" s="8" t="n"/>
      <c r="AP445" s="8" t="n"/>
      <c r="AQ445" s="8" t="n"/>
      <c r="AR445" s="8" t="n"/>
      <c r="AS445" s="8" t="n"/>
      <c r="AT445" s="8" t="n"/>
      <c r="AU445" s="8" t="n"/>
      <c r="AV445" s="8" t="n"/>
      <c r="AW445" s="8" t="n"/>
      <c r="AX445" s="8" t="n"/>
      <c r="AY445" s="8" t="n"/>
      <c r="AZ445" s="8" t="n"/>
    </row>
    <row r="446" customFormat="1" s="12">
      <c r="D446" s="13" t="n"/>
      <c r="E446" s="8" t="n"/>
      <c r="F446" s="8" t="n"/>
      <c r="G446" s="8" t="n"/>
      <c r="H446" s="8" t="n"/>
      <c r="I446" s="8" t="n"/>
      <c r="J446" s="8" t="n"/>
      <c r="K446" s="8" t="n"/>
      <c r="L446" s="8" t="n"/>
      <c r="M446" s="8" t="n"/>
      <c r="N446" s="8" t="n"/>
      <c r="O446" s="8" t="n"/>
      <c r="P446" s="8" t="n"/>
      <c r="Q446" s="8" t="n"/>
      <c r="R446" s="8" t="n"/>
      <c r="S446" s="8" t="n"/>
      <c r="T446" s="8" t="n"/>
      <c r="U446" s="8" t="n"/>
      <c r="V446" s="8" t="n"/>
      <c r="W446" s="8" t="n"/>
      <c r="X446" s="8" t="n"/>
      <c r="Y446" s="8" t="n"/>
      <c r="Z446" s="8" t="n"/>
      <c r="AA446" s="8" t="n"/>
      <c r="AB446" s="8" t="n"/>
      <c r="AC446" s="8" t="n"/>
      <c r="AD446" s="8" t="n"/>
      <c r="AE446" s="8" t="n"/>
      <c r="AF446" s="8" t="n"/>
      <c r="AG446" s="8" t="n"/>
      <c r="AH446" s="8" t="n"/>
      <c r="AI446" s="8" t="n"/>
      <c r="AJ446" s="8" t="n"/>
      <c r="AK446" s="8" t="n"/>
      <c r="AL446" s="8" t="n"/>
      <c r="AM446" s="8" t="n"/>
      <c r="AN446" s="8" t="n"/>
      <c r="AO446" s="8" t="n"/>
      <c r="AP446" s="8" t="n"/>
      <c r="AQ446" s="8" t="n"/>
      <c r="AR446" s="8" t="n"/>
      <c r="AS446" s="8" t="n"/>
      <c r="AT446" s="8" t="n"/>
      <c r="AU446" s="8" t="n"/>
      <c r="AV446" s="8" t="n"/>
      <c r="AW446" s="8" t="n"/>
      <c r="AX446" s="8" t="n"/>
      <c r="AY446" s="8" t="n"/>
      <c r="AZ446" s="8" t="n"/>
    </row>
    <row r="447" customFormat="1" s="12">
      <c r="D447" s="13" t="n"/>
      <c r="E447" s="8" t="n"/>
      <c r="F447" s="8" t="n"/>
      <c r="G447" s="8" t="n"/>
      <c r="H447" s="8" t="n"/>
      <c r="I447" s="8" t="n"/>
      <c r="J447" s="8" t="n"/>
      <c r="K447" s="8" t="n"/>
      <c r="L447" s="8" t="n"/>
      <c r="M447" s="8" t="n"/>
      <c r="N447" s="8" t="n"/>
      <c r="O447" s="8" t="n"/>
      <c r="P447" s="8" t="n"/>
      <c r="Q447" s="8" t="n"/>
      <c r="R447" s="8" t="n"/>
      <c r="S447" s="8" t="n"/>
      <c r="T447" s="8" t="n"/>
      <c r="U447" s="8" t="n"/>
      <c r="V447" s="8" t="n"/>
      <c r="W447" s="8" t="n"/>
      <c r="X447" s="8" t="n"/>
      <c r="Y447" s="8" t="n"/>
      <c r="Z447" s="8" t="n"/>
      <c r="AA447" s="8" t="n"/>
      <c r="AB447" s="8" t="n"/>
      <c r="AC447" s="8" t="n"/>
      <c r="AD447" s="8" t="n"/>
      <c r="AE447" s="8" t="n"/>
      <c r="AF447" s="8" t="n"/>
      <c r="AG447" s="8" t="n"/>
      <c r="AH447" s="8" t="n"/>
      <c r="AI447" s="8" t="n"/>
      <c r="AJ447" s="8" t="n"/>
      <c r="AK447" s="8" t="n"/>
      <c r="AL447" s="8" t="n"/>
      <c r="AM447" s="8" t="n"/>
      <c r="AN447" s="8" t="n"/>
      <c r="AO447" s="8" t="n"/>
      <c r="AP447" s="8" t="n"/>
      <c r="AQ447" s="8" t="n"/>
      <c r="AR447" s="8" t="n"/>
      <c r="AS447" s="8" t="n"/>
      <c r="AT447" s="8" t="n"/>
      <c r="AU447" s="8" t="n"/>
      <c r="AV447" s="8" t="n"/>
      <c r="AW447" s="8" t="n"/>
      <c r="AX447" s="8" t="n"/>
      <c r="AY447" s="8" t="n"/>
      <c r="AZ447" s="8" t="n"/>
    </row>
    <row r="448" customFormat="1" s="12">
      <c r="D448" s="13" t="n"/>
      <c r="E448" s="8" t="n"/>
      <c r="F448" s="8" t="n"/>
      <c r="G448" s="8" t="n"/>
      <c r="H448" s="8" t="n"/>
      <c r="I448" s="8" t="n"/>
      <c r="J448" s="8" t="n"/>
      <c r="K448" s="8" t="n"/>
      <c r="L448" s="8" t="n"/>
      <c r="M448" s="8" t="n"/>
      <c r="N448" s="8" t="n"/>
      <c r="O448" s="8" t="n"/>
      <c r="P448" s="8" t="n"/>
      <c r="Q448" s="8" t="n"/>
      <c r="R448" s="8" t="n"/>
      <c r="S448" s="8" t="n"/>
      <c r="T448" s="8" t="n"/>
      <c r="U448" s="8" t="n"/>
      <c r="V448" s="8" t="n"/>
      <c r="W448" s="8" t="n"/>
      <c r="X448" s="8" t="n"/>
      <c r="Y448" s="8" t="n"/>
      <c r="Z448" s="8" t="n"/>
      <c r="AA448" s="8" t="n"/>
      <c r="AB448" s="8" t="n"/>
      <c r="AC448" s="8" t="n"/>
      <c r="AD448" s="8" t="n"/>
      <c r="AE448" s="8" t="n"/>
      <c r="AF448" s="8" t="n"/>
      <c r="AG448" s="8" t="n"/>
      <c r="AH448" s="8" t="n"/>
      <c r="AI448" s="8" t="n"/>
      <c r="AJ448" s="8" t="n"/>
      <c r="AK448" s="8" t="n"/>
      <c r="AL448" s="8" t="n"/>
      <c r="AM448" s="8" t="n"/>
      <c r="AN448" s="8" t="n"/>
      <c r="AO448" s="8" t="n"/>
      <c r="AP448" s="8" t="n"/>
      <c r="AQ448" s="8" t="n"/>
      <c r="AR448" s="8" t="n"/>
      <c r="AS448" s="8" t="n"/>
      <c r="AT448" s="8" t="n"/>
      <c r="AU448" s="8" t="n"/>
      <c r="AV448" s="8" t="n"/>
      <c r="AW448" s="8" t="n"/>
      <c r="AX448" s="8" t="n"/>
      <c r="AY448" s="8" t="n"/>
      <c r="AZ448" s="8" t="n"/>
    </row>
    <row r="449" customFormat="1" s="12">
      <c r="D449" s="13" t="n"/>
      <c r="E449" s="8" t="n"/>
      <c r="F449" s="8" t="n"/>
      <c r="G449" s="8" t="n"/>
      <c r="H449" s="8" t="n"/>
      <c r="I449" s="8" t="n"/>
      <c r="J449" s="8" t="n"/>
      <c r="K449" s="8" t="n"/>
      <c r="L449" s="8" t="n"/>
      <c r="M449" s="8" t="n"/>
      <c r="N449" s="8" t="n"/>
      <c r="O449" s="8" t="n"/>
      <c r="P449" s="8" t="n"/>
      <c r="Q449" s="8" t="n"/>
      <c r="R449" s="8" t="n"/>
      <c r="S449" s="8" t="n"/>
      <c r="T449" s="8" t="n"/>
      <c r="U449" s="8" t="n"/>
      <c r="V449" s="8" t="n"/>
      <c r="W449" s="8" t="n"/>
      <c r="X449" s="8" t="n"/>
      <c r="Y449" s="8" t="n"/>
      <c r="Z449" s="8" t="n"/>
      <c r="AA449" s="8" t="n"/>
      <c r="AB449" s="8" t="n"/>
      <c r="AC449" s="8" t="n"/>
      <c r="AD449" s="8" t="n"/>
      <c r="AE449" s="8" t="n"/>
      <c r="AF449" s="8" t="n"/>
      <c r="AG449" s="8" t="n"/>
      <c r="AH449" s="8" t="n"/>
      <c r="AI449" s="8" t="n"/>
      <c r="AJ449" s="8" t="n"/>
      <c r="AK449" s="8" t="n"/>
      <c r="AL449" s="8" t="n"/>
      <c r="AM449" s="8" t="n"/>
      <c r="AN449" s="8" t="n"/>
      <c r="AO449" s="8" t="n"/>
      <c r="AP449" s="8" t="n"/>
      <c r="AQ449" s="8" t="n"/>
      <c r="AR449" s="8" t="n"/>
      <c r="AS449" s="8" t="n"/>
      <c r="AT449" s="8" t="n"/>
      <c r="AU449" s="8" t="n"/>
      <c r="AV449" s="8" t="n"/>
      <c r="AW449" s="8" t="n"/>
      <c r="AX449" s="8" t="n"/>
      <c r="AY449" s="8" t="n"/>
      <c r="AZ449" s="8" t="n"/>
    </row>
    <row r="450" customFormat="1" s="12">
      <c r="D450" s="13" t="n"/>
      <c r="E450" s="8" t="n"/>
      <c r="F450" s="8" t="n"/>
      <c r="G450" s="8" t="n"/>
      <c r="H450" s="8" t="n"/>
      <c r="I450" s="8" t="n"/>
      <c r="J450" s="8" t="n"/>
      <c r="K450" s="8" t="n"/>
      <c r="L450" s="8" t="n"/>
      <c r="M450" s="8" t="n"/>
      <c r="N450" s="8" t="n"/>
      <c r="O450" s="8" t="n"/>
      <c r="P450" s="8" t="n"/>
      <c r="Q450" s="8" t="n"/>
      <c r="R450" s="8" t="n"/>
      <c r="S450" s="8" t="n"/>
      <c r="T450" s="8" t="n"/>
      <c r="U450" s="8" t="n"/>
      <c r="V450" s="8" t="n"/>
      <c r="W450" s="8" t="n"/>
      <c r="X450" s="8" t="n"/>
      <c r="Y450" s="8" t="n"/>
      <c r="Z450" s="8" t="n"/>
      <c r="AA450" s="8" t="n"/>
      <c r="AB450" s="8" t="n"/>
      <c r="AC450" s="8" t="n"/>
      <c r="AD450" s="8" t="n"/>
      <c r="AE450" s="8" t="n"/>
      <c r="AF450" s="8" t="n"/>
      <c r="AG450" s="8" t="n"/>
      <c r="AH450" s="8" t="n"/>
      <c r="AI450" s="8" t="n"/>
      <c r="AJ450" s="8" t="n"/>
      <c r="AK450" s="8" t="n"/>
      <c r="AL450" s="8" t="n"/>
      <c r="AM450" s="8" t="n"/>
      <c r="AN450" s="8" t="n"/>
      <c r="AO450" s="8" t="n"/>
      <c r="AP450" s="8" t="n"/>
      <c r="AQ450" s="8" t="n"/>
      <c r="AR450" s="8" t="n"/>
      <c r="AS450" s="8" t="n"/>
      <c r="AT450" s="8" t="n"/>
      <c r="AU450" s="8" t="n"/>
      <c r="AV450" s="8" t="n"/>
      <c r="AW450" s="8" t="n"/>
      <c r="AX450" s="8" t="n"/>
      <c r="AY450" s="8" t="n"/>
      <c r="AZ450" s="8" t="n"/>
    </row>
    <row r="451" customFormat="1" s="12">
      <c r="D451" s="13" t="n"/>
      <c r="E451" s="8" t="n"/>
      <c r="F451" s="8" t="n"/>
      <c r="G451" s="8" t="n"/>
      <c r="H451" s="8" t="n"/>
      <c r="I451" s="8" t="n"/>
      <c r="J451" s="8" t="n"/>
      <c r="K451" s="8" t="n"/>
      <c r="L451" s="8" t="n"/>
      <c r="M451" s="8" t="n"/>
      <c r="N451" s="8" t="n"/>
      <c r="O451" s="8" t="n"/>
      <c r="P451" s="8" t="n"/>
      <c r="Q451" s="8" t="n"/>
      <c r="R451" s="8" t="n"/>
      <c r="S451" s="8" t="n"/>
      <c r="T451" s="8" t="n"/>
      <c r="U451" s="8" t="n"/>
      <c r="V451" s="8" t="n"/>
      <c r="W451" s="8" t="n"/>
      <c r="X451" s="8" t="n"/>
      <c r="Y451" s="8" t="n"/>
      <c r="Z451" s="8" t="n"/>
      <c r="AA451" s="8" t="n"/>
      <c r="AB451" s="8" t="n"/>
      <c r="AC451" s="8" t="n"/>
      <c r="AD451" s="8" t="n"/>
      <c r="AE451" s="8" t="n"/>
      <c r="AF451" s="8" t="n"/>
      <c r="AG451" s="8" t="n"/>
      <c r="AH451" s="8" t="n"/>
      <c r="AI451" s="8" t="n"/>
      <c r="AJ451" s="8" t="n"/>
      <c r="AK451" s="8" t="n"/>
      <c r="AL451" s="8" t="n"/>
      <c r="AM451" s="8" t="n"/>
      <c r="AN451" s="8" t="n"/>
      <c r="AO451" s="8" t="n"/>
      <c r="AP451" s="8" t="n"/>
      <c r="AQ451" s="8" t="n"/>
      <c r="AR451" s="8" t="n"/>
      <c r="AS451" s="8" t="n"/>
      <c r="AT451" s="8" t="n"/>
      <c r="AU451" s="8" t="n"/>
      <c r="AV451" s="8" t="n"/>
      <c r="AW451" s="8" t="n"/>
      <c r="AX451" s="8" t="n"/>
      <c r="AY451" s="8" t="n"/>
      <c r="AZ451" s="8" t="n"/>
    </row>
    <row r="452" customFormat="1" s="12">
      <c r="D452" s="13" t="n"/>
      <c r="E452" s="8" t="n"/>
      <c r="F452" s="8" t="n"/>
      <c r="G452" s="8" t="n"/>
      <c r="H452" s="8" t="n"/>
      <c r="I452" s="8" t="n"/>
      <c r="J452" s="8" t="n"/>
      <c r="K452" s="8" t="n"/>
      <c r="L452" s="8" t="n"/>
      <c r="M452" s="8" t="n"/>
      <c r="N452" s="8" t="n"/>
      <c r="O452" s="8" t="n"/>
      <c r="P452" s="8" t="n"/>
      <c r="Q452" s="8" t="n"/>
      <c r="R452" s="8" t="n"/>
      <c r="S452" s="8" t="n"/>
      <c r="T452" s="8" t="n"/>
      <c r="U452" s="8" t="n"/>
      <c r="V452" s="8" t="n"/>
      <c r="W452" s="8" t="n"/>
      <c r="X452" s="8" t="n"/>
      <c r="Y452" s="8" t="n"/>
      <c r="Z452" s="8" t="n"/>
      <c r="AA452" s="8" t="n"/>
      <c r="AB452" s="8" t="n"/>
      <c r="AC452" s="8" t="n"/>
      <c r="AD452" s="8" t="n"/>
      <c r="AE452" s="8" t="n"/>
      <c r="AF452" s="8" t="n"/>
      <c r="AG452" s="8" t="n"/>
      <c r="AH452" s="8" t="n"/>
      <c r="AI452" s="8" t="n"/>
      <c r="AJ452" s="8" t="n"/>
      <c r="AK452" s="8" t="n"/>
      <c r="AL452" s="8" t="n"/>
      <c r="AM452" s="8" t="n"/>
      <c r="AN452" s="8" t="n"/>
      <c r="AO452" s="8" t="n"/>
      <c r="AP452" s="8" t="n"/>
      <c r="AQ452" s="8" t="n"/>
      <c r="AR452" s="8" t="n"/>
      <c r="AS452" s="8" t="n"/>
      <c r="AT452" s="8" t="n"/>
      <c r="AU452" s="8" t="n"/>
      <c r="AV452" s="8" t="n"/>
      <c r="AW452" s="8" t="n"/>
      <c r="AX452" s="8" t="n"/>
      <c r="AY452" s="8" t="n"/>
      <c r="AZ452" s="8" t="n"/>
    </row>
    <row r="453" customFormat="1" s="12">
      <c r="D453" s="13" t="n"/>
      <c r="E453" s="8" t="n"/>
      <c r="F453" s="8" t="n"/>
      <c r="G453" s="8" t="n"/>
      <c r="H453" s="8" t="n"/>
      <c r="I453" s="8" t="n"/>
      <c r="J453" s="8" t="n"/>
      <c r="K453" s="8" t="n"/>
      <c r="L453" s="8" t="n"/>
      <c r="M453" s="8" t="n"/>
      <c r="N453" s="8" t="n"/>
      <c r="O453" s="8" t="n"/>
      <c r="P453" s="8" t="n"/>
      <c r="Q453" s="8" t="n"/>
      <c r="R453" s="8" t="n"/>
      <c r="S453" s="8" t="n"/>
      <c r="T453" s="8" t="n"/>
      <c r="U453" s="8" t="n"/>
      <c r="V453" s="8" t="n"/>
      <c r="W453" s="8" t="n"/>
      <c r="X453" s="8" t="n"/>
      <c r="Y453" s="8" t="n"/>
      <c r="Z453" s="8" t="n"/>
      <c r="AA453" s="8" t="n"/>
      <c r="AB453" s="8" t="n"/>
      <c r="AC453" s="8" t="n"/>
      <c r="AD453" s="8" t="n"/>
      <c r="AE453" s="8" t="n"/>
      <c r="AF453" s="8" t="n"/>
      <c r="AG453" s="8" t="n"/>
      <c r="AH453" s="8" t="n"/>
      <c r="AI453" s="8" t="n"/>
      <c r="AJ453" s="8" t="n"/>
      <c r="AK453" s="8" t="n"/>
      <c r="AL453" s="8" t="n"/>
      <c r="AM453" s="8" t="n"/>
      <c r="AN453" s="8" t="n"/>
      <c r="AO453" s="8" t="n"/>
      <c r="AP453" s="8" t="n"/>
      <c r="AQ453" s="8" t="n"/>
      <c r="AR453" s="8" t="n"/>
      <c r="AS453" s="8" t="n"/>
      <c r="AT453" s="8" t="n"/>
      <c r="AU453" s="8" t="n"/>
      <c r="AV453" s="8" t="n"/>
      <c r="AW453" s="8" t="n"/>
      <c r="AX453" s="8" t="n"/>
      <c r="AY453" s="8" t="n"/>
      <c r="AZ453" s="8" t="n"/>
    </row>
    <row r="454" customFormat="1" s="12">
      <c r="D454" s="13" t="n"/>
      <c r="E454" s="8" t="n"/>
      <c r="F454" s="8" t="n"/>
      <c r="G454" s="8" t="n"/>
      <c r="H454" s="8" t="n"/>
      <c r="I454" s="8" t="n"/>
      <c r="J454" s="8" t="n"/>
      <c r="K454" s="8" t="n"/>
      <c r="L454" s="8" t="n"/>
      <c r="M454" s="8" t="n"/>
      <c r="N454" s="8" t="n"/>
      <c r="O454" s="8" t="n"/>
      <c r="P454" s="8" t="n"/>
      <c r="Q454" s="8" t="n"/>
      <c r="R454" s="8" t="n"/>
      <c r="S454" s="8" t="n"/>
      <c r="T454" s="8" t="n"/>
      <c r="U454" s="8" t="n"/>
      <c r="V454" s="8" t="n"/>
      <c r="W454" s="8" t="n"/>
      <c r="X454" s="8" t="n"/>
      <c r="Y454" s="8" t="n"/>
      <c r="Z454" s="8" t="n"/>
      <c r="AA454" s="8" t="n"/>
      <c r="AB454" s="8" t="n"/>
      <c r="AC454" s="8" t="n"/>
      <c r="AD454" s="8" t="n"/>
      <c r="AE454" s="8" t="n"/>
      <c r="AF454" s="8" t="n"/>
      <c r="AG454" s="8" t="n"/>
      <c r="AH454" s="8" t="n"/>
      <c r="AI454" s="8" t="n"/>
      <c r="AJ454" s="8" t="n"/>
      <c r="AK454" s="8" t="n"/>
      <c r="AL454" s="8" t="n"/>
      <c r="AM454" s="8" t="n"/>
      <c r="AN454" s="8" t="n"/>
      <c r="AO454" s="8" t="n"/>
      <c r="AP454" s="8" t="n"/>
      <c r="AQ454" s="8" t="n"/>
      <c r="AR454" s="8" t="n"/>
      <c r="AS454" s="8" t="n"/>
      <c r="AT454" s="8" t="n"/>
      <c r="AU454" s="8" t="n"/>
      <c r="AV454" s="8" t="n"/>
      <c r="AW454" s="8" t="n"/>
      <c r="AX454" s="8" t="n"/>
      <c r="AY454" s="8" t="n"/>
      <c r="AZ454" s="8" t="n"/>
    </row>
    <row r="455" customFormat="1" s="12">
      <c r="D455" s="13" t="n"/>
      <c r="E455" s="8" t="n"/>
      <c r="F455" s="8" t="n"/>
      <c r="G455" s="8" t="n"/>
      <c r="H455" s="8" t="n"/>
      <c r="I455" s="8" t="n"/>
      <c r="J455" s="8" t="n"/>
      <c r="K455" s="8" t="n"/>
      <c r="L455" s="8" t="n"/>
      <c r="M455" s="8" t="n"/>
      <c r="N455" s="8" t="n"/>
      <c r="O455" s="8" t="n"/>
      <c r="P455" s="8" t="n"/>
      <c r="Q455" s="8" t="n"/>
      <c r="R455" s="8" t="n"/>
      <c r="S455" s="8" t="n"/>
      <c r="T455" s="8" t="n"/>
      <c r="U455" s="8" t="n"/>
      <c r="V455" s="8" t="n"/>
      <c r="W455" s="8" t="n"/>
      <c r="X455" s="8" t="n"/>
      <c r="Y455" s="8" t="n"/>
      <c r="Z455" s="8" t="n"/>
      <c r="AA455" s="8" t="n"/>
      <c r="AB455" s="8" t="n"/>
      <c r="AC455" s="8" t="n"/>
      <c r="AD455" s="8" t="n"/>
      <c r="AE455" s="8" t="n"/>
      <c r="AF455" s="8" t="n"/>
      <c r="AG455" s="8" t="n"/>
      <c r="AH455" s="8" t="n"/>
      <c r="AI455" s="8" t="n"/>
      <c r="AJ455" s="8" t="n"/>
      <c r="AK455" s="8" t="n"/>
      <c r="AL455" s="8" t="n"/>
      <c r="AM455" s="8" t="n"/>
      <c r="AN455" s="8" t="n"/>
      <c r="AO455" s="8" t="n"/>
      <c r="AP455" s="8" t="n"/>
      <c r="AQ455" s="8" t="n"/>
      <c r="AR455" s="8" t="n"/>
      <c r="AS455" s="8" t="n"/>
      <c r="AT455" s="8" t="n"/>
      <c r="AU455" s="8" t="n"/>
      <c r="AV455" s="8" t="n"/>
      <c r="AW455" s="8" t="n"/>
      <c r="AX455" s="8" t="n"/>
      <c r="AY455" s="8" t="n"/>
      <c r="AZ455" s="8" t="n"/>
    </row>
    <row r="456" customFormat="1" s="12">
      <c r="D456" s="13" t="n"/>
      <c r="E456" s="8" t="n"/>
      <c r="F456" s="8" t="n"/>
      <c r="G456" s="8" t="n"/>
      <c r="H456" s="8" t="n"/>
      <c r="I456" s="8" t="n"/>
      <c r="J456" s="8" t="n"/>
      <c r="K456" s="8" t="n"/>
      <c r="L456" s="8" t="n"/>
      <c r="M456" s="8" t="n"/>
      <c r="N456" s="8" t="n"/>
      <c r="O456" s="8" t="n"/>
      <c r="P456" s="8" t="n"/>
      <c r="Q456" s="8" t="n"/>
      <c r="R456" s="8" t="n"/>
      <c r="S456" s="8" t="n"/>
      <c r="T456" s="8" t="n"/>
      <c r="U456" s="8" t="n"/>
      <c r="V456" s="8" t="n"/>
      <c r="W456" s="8" t="n"/>
      <c r="X456" s="8" t="n"/>
      <c r="Y456" s="8" t="n"/>
      <c r="Z456" s="8" t="n"/>
      <c r="AA456" s="8" t="n"/>
      <c r="AB456" s="8" t="n"/>
      <c r="AC456" s="8" t="n"/>
      <c r="AD456" s="8" t="n"/>
      <c r="AE456" s="8" t="n"/>
      <c r="AF456" s="8" t="n"/>
      <c r="AG456" s="8" t="n"/>
      <c r="AH456" s="8" t="n"/>
      <c r="AI456" s="8" t="n"/>
      <c r="AJ456" s="8" t="n"/>
      <c r="AK456" s="8" t="n"/>
      <c r="AL456" s="8" t="n"/>
      <c r="AM456" s="8" t="n"/>
      <c r="AN456" s="8" t="n"/>
      <c r="AO456" s="8" t="n"/>
      <c r="AP456" s="8" t="n"/>
      <c r="AQ456" s="8" t="n"/>
      <c r="AR456" s="8" t="n"/>
      <c r="AS456" s="8" t="n"/>
      <c r="AT456" s="8" t="n"/>
      <c r="AU456" s="8" t="n"/>
      <c r="AV456" s="8" t="n"/>
      <c r="AW456" s="8" t="n"/>
      <c r="AX456" s="8" t="n"/>
      <c r="AY456" s="8" t="n"/>
      <c r="AZ456" s="8" t="n"/>
    </row>
    <row r="457" customFormat="1" s="12">
      <c r="D457" s="13" t="n"/>
      <c r="E457" s="8" t="n"/>
      <c r="F457" s="8" t="n"/>
      <c r="G457" s="8" t="n"/>
      <c r="H457" s="8" t="n"/>
      <c r="I457" s="8" t="n"/>
      <c r="J457" s="8" t="n"/>
      <c r="K457" s="8" t="n"/>
      <c r="L457" s="8" t="n"/>
      <c r="M457" s="8" t="n"/>
      <c r="N457" s="8" t="n"/>
      <c r="O457" s="8" t="n"/>
      <c r="P457" s="8" t="n"/>
      <c r="Q457" s="8" t="n"/>
      <c r="R457" s="8" t="n"/>
      <c r="S457" s="8" t="n"/>
      <c r="T457" s="8" t="n"/>
      <c r="U457" s="8" t="n"/>
      <c r="V457" s="8" t="n"/>
      <c r="W457" s="8" t="n"/>
      <c r="X457" s="8" t="n"/>
      <c r="Y457" s="8" t="n"/>
      <c r="Z457" s="8" t="n"/>
      <c r="AA457" s="8" t="n"/>
      <c r="AB457" s="8" t="n"/>
      <c r="AC457" s="8" t="n"/>
      <c r="AD457" s="8" t="n"/>
      <c r="AE457" s="8" t="n"/>
      <c r="AF457" s="8" t="n"/>
      <c r="AG457" s="8" t="n"/>
      <c r="AH457" s="8" t="n"/>
      <c r="AI457" s="8" t="n"/>
      <c r="AJ457" s="8" t="n"/>
      <c r="AK457" s="8" t="n"/>
      <c r="AL457" s="8" t="n"/>
      <c r="AM457" s="8" t="n"/>
      <c r="AN457" s="8" t="n"/>
      <c r="AO457" s="8" t="n"/>
      <c r="AP457" s="8" t="n"/>
      <c r="AQ457" s="8" t="n"/>
      <c r="AR457" s="8" t="n"/>
      <c r="AS457" s="8" t="n"/>
      <c r="AT457" s="8" t="n"/>
      <c r="AU457" s="8" t="n"/>
      <c r="AV457" s="8" t="n"/>
      <c r="AW457" s="8" t="n"/>
      <c r="AX457" s="8" t="n"/>
      <c r="AY457" s="8" t="n"/>
      <c r="AZ457" s="8" t="n"/>
    </row>
    <row r="458" customFormat="1" s="12">
      <c r="D458" s="13" t="n"/>
      <c r="E458" s="8" t="n"/>
      <c r="F458" s="8" t="n"/>
      <c r="G458" s="8" t="n"/>
      <c r="H458" s="8" t="n"/>
      <c r="I458" s="8" t="n"/>
      <c r="J458" s="8" t="n"/>
      <c r="K458" s="8" t="n"/>
      <c r="L458" s="8" t="n"/>
      <c r="M458" s="8" t="n"/>
      <c r="N458" s="8" t="n"/>
      <c r="O458" s="8" t="n"/>
      <c r="P458" s="8" t="n"/>
      <c r="Q458" s="8" t="n"/>
      <c r="R458" s="8" t="n"/>
      <c r="S458" s="8" t="n"/>
      <c r="T458" s="8" t="n"/>
      <c r="U458" s="8" t="n"/>
      <c r="V458" s="8" t="n"/>
      <c r="W458" s="8" t="n"/>
      <c r="X458" s="8" t="n"/>
      <c r="Y458" s="8" t="n"/>
      <c r="Z458" s="8" t="n"/>
      <c r="AA458" s="8" t="n"/>
      <c r="AB458" s="8" t="n"/>
      <c r="AC458" s="8" t="n"/>
      <c r="AD458" s="8" t="n"/>
      <c r="AE458" s="8" t="n"/>
      <c r="AF458" s="8" t="n"/>
      <c r="AG458" s="8" t="n"/>
      <c r="AH458" s="8" t="n"/>
      <c r="AI458" s="8" t="n"/>
      <c r="AJ458" s="8" t="n"/>
      <c r="AK458" s="8" t="n"/>
      <c r="AL458" s="8" t="n"/>
      <c r="AM458" s="8" t="n"/>
      <c r="AN458" s="8" t="n"/>
      <c r="AO458" s="8" t="n"/>
      <c r="AP458" s="8" t="n"/>
      <c r="AQ458" s="8" t="n"/>
      <c r="AR458" s="8" t="n"/>
      <c r="AS458" s="8" t="n"/>
      <c r="AT458" s="8" t="n"/>
      <c r="AU458" s="8" t="n"/>
      <c r="AV458" s="8" t="n"/>
      <c r="AW458" s="8" t="n"/>
      <c r="AX458" s="8" t="n"/>
      <c r="AY458" s="8" t="n"/>
      <c r="AZ458" s="8" t="n"/>
    </row>
    <row r="459" customFormat="1" s="12">
      <c r="D459" s="13" t="n"/>
      <c r="E459" s="8" t="n"/>
      <c r="F459" s="8" t="n"/>
      <c r="G459" s="8" t="n"/>
      <c r="H459" s="8" t="n"/>
      <c r="I459" s="8" t="n"/>
      <c r="J459" s="8" t="n"/>
      <c r="K459" s="8" t="n"/>
      <c r="L459" s="8" t="n"/>
      <c r="M459" s="8" t="n"/>
      <c r="N459" s="8" t="n"/>
      <c r="O459" s="8" t="n"/>
      <c r="P459" s="8" t="n"/>
      <c r="Q459" s="8" t="n"/>
      <c r="R459" s="8" t="n"/>
      <c r="S459" s="8" t="n"/>
      <c r="T459" s="8" t="n"/>
      <c r="U459" s="8" t="n"/>
      <c r="V459" s="8" t="n"/>
      <c r="W459" s="8" t="n"/>
      <c r="X459" s="8" t="n"/>
      <c r="Y459" s="8" t="n"/>
      <c r="Z459" s="8" t="n"/>
      <c r="AA459" s="8" t="n"/>
      <c r="AB459" s="8" t="n"/>
      <c r="AC459" s="8" t="n"/>
      <c r="AD459" s="8" t="n"/>
      <c r="AE459" s="8" t="n"/>
      <c r="AF459" s="8" t="n"/>
      <c r="AG459" s="8" t="n"/>
      <c r="AH459" s="8" t="n"/>
      <c r="AI459" s="8" t="n"/>
      <c r="AJ459" s="8" t="n"/>
      <c r="AK459" s="8" t="n"/>
      <c r="AL459" s="8" t="n"/>
      <c r="AM459" s="8" t="n"/>
      <c r="AN459" s="8" t="n"/>
      <c r="AO459" s="8" t="n"/>
      <c r="AP459" s="8" t="n"/>
      <c r="AQ459" s="8" t="n"/>
      <c r="AR459" s="8" t="n"/>
      <c r="AS459" s="8" t="n"/>
      <c r="AT459" s="8" t="n"/>
      <c r="AU459" s="8" t="n"/>
      <c r="AV459" s="8" t="n"/>
      <c r="AW459" s="8" t="n"/>
      <c r="AX459" s="8" t="n"/>
      <c r="AY459" s="8" t="n"/>
      <c r="AZ459" s="8" t="n"/>
    </row>
    <row r="460" customFormat="1" s="12">
      <c r="D460" s="13" t="n"/>
      <c r="E460" s="8" t="n"/>
      <c r="F460" s="8" t="n"/>
      <c r="G460" s="8" t="n"/>
      <c r="H460" s="8" t="n"/>
      <c r="I460" s="8" t="n"/>
      <c r="J460" s="8" t="n"/>
      <c r="K460" s="8" t="n"/>
      <c r="L460" s="8" t="n"/>
      <c r="M460" s="8" t="n"/>
      <c r="N460" s="8" t="n"/>
      <c r="O460" s="8" t="n"/>
      <c r="P460" s="8" t="n"/>
      <c r="Q460" s="8" t="n"/>
      <c r="R460" s="8" t="n"/>
      <c r="S460" s="8" t="n"/>
      <c r="T460" s="8" t="n"/>
      <c r="U460" s="8" t="n"/>
      <c r="V460" s="8" t="n"/>
      <c r="W460" s="8" t="n"/>
      <c r="X460" s="8" t="n"/>
      <c r="Y460" s="8" t="n"/>
      <c r="Z460" s="8" t="n"/>
      <c r="AA460" s="8" t="n"/>
      <c r="AB460" s="8" t="n"/>
      <c r="AC460" s="8" t="n"/>
      <c r="AD460" s="8" t="n"/>
      <c r="AE460" s="8" t="n"/>
      <c r="AF460" s="8" t="n"/>
      <c r="AG460" s="8" t="n"/>
      <c r="AH460" s="8" t="n"/>
      <c r="AI460" s="8" t="n"/>
      <c r="AJ460" s="8" t="n"/>
      <c r="AK460" s="8" t="n"/>
      <c r="AL460" s="8" t="n"/>
      <c r="AM460" s="8" t="n"/>
      <c r="AN460" s="8" t="n"/>
      <c r="AO460" s="8" t="n"/>
      <c r="AP460" s="8" t="n"/>
      <c r="AQ460" s="8" t="n"/>
      <c r="AR460" s="8" t="n"/>
      <c r="AS460" s="8" t="n"/>
      <c r="AT460" s="8" t="n"/>
      <c r="AU460" s="8" t="n"/>
      <c r="AV460" s="8" t="n"/>
      <c r="AW460" s="8" t="n"/>
      <c r="AX460" s="8" t="n"/>
      <c r="AY460" s="8" t="n"/>
      <c r="AZ460" s="8" t="n"/>
    </row>
    <row r="461" customFormat="1" s="12">
      <c r="D461" s="13" t="n"/>
      <c r="E461" s="8" t="n"/>
      <c r="F461" s="8" t="n"/>
      <c r="G461" s="8" t="n"/>
      <c r="H461" s="8" t="n"/>
      <c r="I461" s="8" t="n"/>
      <c r="J461" s="8" t="n"/>
      <c r="K461" s="8" t="n"/>
      <c r="L461" s="8" t="n"/>
      <c r="M461" s="8" t="n"/>
      <c r="N461" s="8" t="n"/>
      <c r="O461" s="8" t="n"/>
      <c r="P461" s="8" t="n"/>
      <c r="Q461" s="8" t="n"/>
      <c r="R461" s="8" t="n"/>
      <c r="S461" s="8" t="n"/>
      <c r="T461" s="8" t="n"/>
      <c r="U461" s="8" t="n"/>
      <c r="V461" s="8" t="n"/>
      <c r="W461" s="8" t="n"/>
      <c r="X461" s="8" t="n"/>
      <c r="Y461" s="8" t="n"/>
      <c r="Z461" s="8" t="n"/>
      <c r="AA461" s="8" t="n"/>
      <c r="AB461" s="8" t="n"/>
      <c r="AC461" s="8" t="n"/>
      <c r="AD461" s="8" t="n"/>
      <c r="AE461" s="8" t="n"/>
      <c r="AF461" s="8" t="n"/>
      <c r="AG461" s="8" t="n"/>
      <c r="AH461" s="8" t="n"/>
      <c r="AI461" s="8" t="n"/>
      <c r="AJ461" s="8" t="n"/>
      <c r="AK461" s="8" t="n"/>
      <c r="AL461" s="8" t="n"/>
      <c r="AM461" s="8" t="n"/>
      <c r="AN461" s="8" t="n"/>
      <c r="AO461" s="8" t="n"/>
      <c r="AP461" s="8" t="n"/>
      <c r="AQ461" s="8" t="n"/>
      <c r="AR461" s="8" t="n"/>
      <c r="AS461" s="8" t="n"/>
      <c r="AT461" s="8" t="n"/>
      <c r="AU461" s="8" t="n"/>
      <c r="AV461" s="8" t="n"/>
      <c r="AW461" s="8" t="n"/>
      <c r="AX461" s="8" t="n"/>
      <c r="AY461" s="8" t="n"/>
      <c r="AZ461" s="8" t="n"/>
    </row>
    <row r="462" customFormat="1" s="12">
      <c r="D462" s="13" t="n"/>
      <c r="E462" s="8" t="n"/>
      <c r="F462" s="8" t="n"/>
      <c r="G462" s="8" t="n"/>
      <c r="H462" s="8" t="n"/>
      <c r="I462" s="8" t="n"/>
      <c r="J462" s="8" t="n"/>
      <c r="K462" s="8" t="n"/>
      <c r="L462" s="8" t="n"/>
      <c r="M462" s="8" t="n"/>
      <c r="N462" s="8" t="n"/>
      <c r="O462" s="8" t="n"/>
      <c r="P462" s="8" t="n"/>
      <c r="Q462" s="8" t="n"/>
      <c r="R462" s="8" t="n"/>
      <c r="S462" s="8" t="n"/>
      <c r="T462" s="8" t="n"/>
      <c r="U462" s="8" t="n"/>
      <c r="V462" s="8" t="n"/>
      <c r="W462" s="8" t="n"/>
      <c r="X462" s="8" t="n"/>
      <c r="Y462" s="8" t="n"/>
      <c r="Z462" s="8" t="n"/>
      <c r="AA462" s="8" t="n"/>
      <c r="AB462" s="8" t="n"/>
      <c r="AC462" s="8" t="n"/>
      <c r="AD462" s="8" t="n"/>
      <c r="AE462" s="8" t="n"/>
      <c r="AF462" s="8" t="n"/>
      <c r="AG462" s="8" t="n"/>
      <c r="AH462" s="8" t="n"/>
      <c r="AI462" s="8" t="n"/>
      <c r="AJ462" s="8" t="n"/>
      <c r="AK462" s="8" t="n"/>
      <c r="AL462" s="8" t="n"/>
      <c r="AM462" s="8" t="n"/>
      <c r="AN462" s="8" t="n"/>
      <c r="AO462" s="8" t="n"/>
      <c r="AP462" s="8" t="n"/>
      <c r="AQ462" s="8" t="n"/>
      <c r="AR462" s="8" t="n"/>
      <c r="AS462" s="8" t="n"/>
      <c r="AT462" s="8" t="n"/>
      <c r="AU462" s="8" t="n"/>
      <c r="AV462" s="8" t="n"/>
      <c r="AW462" s="8" t="n"/>
      <c r="AX462" s="8" t="n"/>
      <c r="AY462" s="8" t="n"/>
      <c r="AZ462" s="8" t="n"/>
    </row>
    <row r="463" customFormat="1" s="12">
      <c r="D463" s="13" t="n"/>
      <c r="E463" s="8" t="n"/>
      <c r="F463" s="8" t="n"/>
      <c r="G463" s="8" t="n"/>
      <c r="H463" s="8" t="n"/>
      <c r="I463" s="8" t="n"/>
      <c r="J463" s="8" t="n"/>
      <c r="K463" s="8" t="n"/>
      <c r="L463" s="8" t="n"/>
      <c r="M463" s="8" t="n"/>
      <c r="N463" s="8" t="n"/>
      <c r="O463" s="8" t="n"/>
      <c r="P463" s="8" t="n"/>
      <c r="Q463" s="8" t="n"/>
      <c r="R463" s="8" t="n"/>
      <c r="S463" s="8" t="n"/>
      <c r="T463" s="8" t="n"/>
      <c r="U463" s="8" t="n"/>
      <c r="V463" s="8" t="n"/>
      <c r="W463" s="8" t="n"/>
      <c r="X463" s="8" t="n"/>
      <c r="Y463" s="8" t="n"/>
      <c r="Z463" s="8" t="n"/>
      <c r="AA463" s="8" t="n"/>
      <c r="AB463" s="8" t="n"/>
      <c r="AC463" s="8" t="n"/>
      <c r="AD463" s="8" t="n"/>
      <c r="AE463" s="8" t="n"/>
      <c r="AF463" s="8" t="n"/>
      <c r="AG463" s="8" t="n"/>
      <c r="AH463" s="8" t="n"/>
      <c r="AI463" s="8" t="n"/>
      <c r="AJ463" s="8" t="n"/>
      <c r="AK463" s="8" t="n"/>
      <c r="AL463" s="8" t="n"/>
      <c r="AM463" s="8" t="n"/>
      <c r="AN463" s="8" t="n"/>
      <c r="AO463" s="8" t="n"/>
      <c r="AP463" s="8" t="n"/>
      <c r="AQ463" s="8" t="n"/>
      <c r="AR463" s="8" t="n"/>
      <c r="AS463" s="8" t="n"/>
      <c r="AT463" s="8" t="n"/>
      <c r="AU463" s="8" t="n"/>
      <c r="AV463" s="8" t="n"/>
      <c r="AW463" s="8" t="n"/>
      <c r="AX463" s="8" t="n"/>
      <c r="AY463" s="8" t="n"/>
      <c r="AZ463" s="8" t="n"/>
    </row>
    <row r="464" customFormat="1" s="12">
      <c r="D464" s="13" t="n"/>
      <c r="E464" s="8" t="n"/>
      <c r="F464" s="8" t="n"/>
      <c r="G464" s="8" t="n"/>
      <c r="H464" s="8" t="n"/>
      <c r="I464" s="8" t="n"/>
      <c r="J464" s="8" t="n"/>
      <c r="K464" s="8" t="n"/>
      <c r="L464" s="8" t="n"/>
      <c r="M464" s="8" t="n"/>
      <c r="N464" s="8" t="n"/>
      <c r="O464" s="8" t="n"/>
      <c r="P464" s="8" t="n"/>
      <c r="Q464" s="8" t="n"/>
      <c r="R464" s="8" t="n"/>
      <c r="S464" s="8" t="n"/>
      <c r="T464" s="8" t="n"/>
      <c r="U464" s="8" t="n"/>
      <c r="V464" s="8" t="n"/>
      <c r="W464" s="8" t="n"/>
      <c r="X464" s="8" t="n"/>
      <c r="Y464" s="8" t="n"/>
      <c r="Z464" s="8" t="n"/>
      <c r="AA464" s="8" t="n"/>
      <c r="AB464" s="8" t="n"/>
      <c r="AC464" s="8" t="n"/>
      <c r="AD464" s="8" t="n"/>
      <c r="AE464" s="8" t="n"/>
      <c r="AF464" s="8" t="n"/>
      <c r="AG464" s="8" t="n"/>
      <c r="AH464" s="8" t="n"/>
      <c r="AI464" s="8" t="n"/>
      <c r="AJ464" s="8" t="n"/>
      <c r="AK464" s="8" t="n"/>
      <c r="AL464" s="8" t="n"/>
      <c r="AM464" s="8" t="n"/>
      <c r="AN464" s="8" t="n"/>
      <c r="AO464" s="8" t="n"/>
      <c r="AP464" s="8" t="n"/>
      <c r="AQ464" s="8" t="n"/>
      <c r="AR464" s="8" t="n"/>
      <c r="AS464" s="8" t="n"/>
      <c r="AT464" s="8" t="n"/>
      <c r="AU464" s="8" t="n"/>
      <c r="AV464" s="8" t="n"/>
      <c r="AW464" s="8" t="n"/>
      <c r="AX464" s="8" t="n"/>
      <c r="AY464" s="8" t="n"/>
      <c r="AZ464" s="8" t="n"/>
    </row>
    <row r="465" customFormat="1" s="12">
      <c r="D465" s="13" t="n"/>
      <c r="E465" s="8" t="n"/>
      <c r="F465" s="8" t="n"/>
      <c r="G465" s="8" t="n"/>
      <c r="H465" s="8" t="n"/>
      <c r="I465" s="8" t="n"/>
      <c r="J465" s="8" t="n"/>
      <c r="K465" s="8" t="n"/>
      <c r="L465" s="8" t="n"/>
      <c r="M465" s="8" t="n"/>
      <c r="N465" s="8" t="n"/>
      <c r="O465" s="8" t="n"/>
      <c r="P465" s="8" t="n"/>
      <c r="Q465" s="8" t="n"/>
      <c r="R465" s="8" t="n"/>
      <c r="S465" s="8" t="n"/>
      <c r="T465" s="8" t="n"/>
      <c r="U465" s="8" t="n"/>
      <c r="V465" s="8" t="n"/>
      <c r="W465" s="8" t="n"/>
      <c r="X465" s="8" t="n"/>
      <c r="Y465" s="8" t="n"/>
      <c r="Z465" s="8" t="n"/>
      <c r="AA465" s="8" t="n"/>
      <c r="AB465" s="8" t="n"/>
      <c r="AC465" s="8" t="n"/>
      <c r="AD465" s="8" t="n"/>
      <c r="AE465" s="8" t="n"/>
      <c r="AF465" s="8" t="n"/>
      <c r="AG465" s="8" t="n"/>
      <c r="AH465" s="8" t="n"/>
      <c r="AI465" s="8" t="n"/>
      <c r="AJ465" s="8" t="n"/>
      <c r="AK465" s="8" t="n"/>
      <c r="AL465" s="8" t="n"/>
      <c r="AM465" s="8" t="n"/>
      <c r="AN465" s="8" t="n"/>
      <c r="AO465" s="8" t="n"/>
      <c r="AP465" s="8" t="n"/>
      <c r="AQ465" s="8" t="n"/>
      <c r="AR465" s="8" t="n"/>
      <c r="AS465" s="8" t="n"/>
      <c r="AT465" s="8" t="n"/>
      <c r="AU465" s="8" t="n"/>
      <c r="AV465" s="8" t="n"/>
      <c r="AW465" s="8" t="n"/>
      <c r="AX465" s="8" t="n"/>
      <c r="AY465" s="8" t="n"/>
      <c r="AZ465" s="8" t="n"/>
    </row>
    <row r="466" customFormat="1" s="12">
      <c r="D466" s="13" t="n"/>
      <c r="E466" s="8" t="n"/>
      <c r="F466" s="8" t="n"/>
      <c r="G466" s="8" t="n"/>
      <c r="H466" s="8" t="n"/>
      <c r="I466" s="8" t="n"/>
      <c r="J466" s="8" t="n"/>
      <c r="K466" s="8" t="n"/>
      <c r="L466" s="8" t="n"/>
      <c r="M466" s="8" t="n"/>
      <c r="N466" s="8" t="n"/>
      <c r="O466" s="8" t="n"/>
      <c r="P466" s="8" t="n"/>
      <c r="Q466" s="8" t="n"/>
      <c r="R466" s="8" t="n"/>
      <c r="S466" s="8" t="n"/>
      <c r="T466" s="8" t="n"/>
      <c r="U466" s="8" t="n"/>
      <c r="V466" s="8" t="n"/>
      <c r="W466" s="8" t="n"/>
      <c r="X466" s="8" t="n"/>
      <c r="Y466" s="8" t="n"/>
      <c r="Z466" s="8" t="n"/>
      <c r="AA466" s="8" t="n"/>
      <c r="AB466" s="8" t="n"/>
      <c r="AC466" s="8" t="n"/>
      <c r="AD466" s="8" t="n"/>
      <c r="AE466" s="8" t="n"/>
      <c r="AF466" s="8" t="n"/>
      <c r="AG466" s="8" t="n"/>
      <c r="AH466" s="8" t="n"/>
      <c r="AI466" s="8" t="n"/>
      <c r="AJ466" s="8" t="n"/>
      <c r="AK466" s="8" t="n"/>
      <c r="AL466" s="8" t="n"/>
      <c r="AM466" s="8" t="n"/>
      <c r="AN466" s="8" t="n"/>
      <c r="AO466" s="8" t="n"/>
      <c r="AP466" s="8" t="n"/>
      <c r="AQ466" s="8" t="n"/>
      <c r="AR466" s="8" t="n"/>
      <c r="AS466" s="8" t="n"/>
      <c r="AT466" s="8" t="n"/>
      <c r="AU466" s="8" t="n"/>
      <c r="AV466" s="8" t="n"/>
      <c r="AW466" s="8" t="n"/>
      <c r="AX466" s="8" t="n"/>
      <c r="AY466" s="8" t="n"/>
      <c r="AZ466" s="8" t="n"/>
    </row>
    <row r="467" customFormat="1" s="12">
      <c r="D467" s="13" t="n"/>
      <c r="E467" s="8" t="n"/>
      <c r="F467" s="8" t="n"/>
      <c r="G467" s="8" t="n"/>
      <c r="H467" s="8" t="n"/>
      <c r="I467" s="8" t="n"/>
      <c r="J467" s="8" t="n"/>
      <c r="K467" s="8" t="n"/>
      <c r="L467" s="8" t="n"/>
      <c r="M467" s="8" t="n"/>
      <c r="N467" s="8" t="n"/>
      <c r="O467" s="8" t="n"/>
      <c r="P467" s="8" t="n"/>
      <c r="Q467" s="8" t="n"/>
      <c r="R467" s="8" t="n"/>
      <c r="S467" s="8" t="n"/>
      <c r="T467" s="8" t="n"/>
      <c r="U467" s="8" t="n"/>
      <c r="V467" s="8" t="n"/>
      <c r="W467" s="8" t="n"/>
      <c r="X467" s="8" t="n"/>
      <c r="Y467" s="8" t="n"/>
      <c r="Z467" s="8" t="n"/>
      <c r="AA467" s="8" t="n"/>
      <c r="AB467" s="8" t="n"/>
      <c r="AC467" s="8" t="n"/>
      <c r="AD467" s="8" t="n"/>
      <c r="AE467" s="8" t="n"/>
      <c r="AF467" s="8" t="n"/>
      <c r="AG467" s="8" t="n"/>
      <c r="AH467" s="8" t="n"/>
      <c r="AI467" s="8" t="n"/>
      <c r="AJ467" s="8" t="n"/>
      <c r="AK467" s="8" t="n"/>
      <c r="AL467" s="8" t="n"/>
      <c r="AM467" s="8" t="n"/>
      <c r="AN467" s="8" t="n"/>
      <c r="AO467" s="8" t="n"/>
      <c r="AP467" s="8" t="n"/>
      <c r="AQ467" s="8" t="n"/>
      <c r="AR467" s="8" t="n"/>
      <c r="AS467" s="8" t="n"/>
      <c r="AT467" s="8" t="n"/>
      <c r="AU467" s="8" t="n"/>
      <c r="AV467" s="8" t="n"/>
      <c r="AW467" s="8" t="n"/>
      <c r="AX467" s="8" t="n"/>
      <c r="AY467" s="8" t="n"/>
      <c r="AZ467" s="8" t="n"/>
    </row>
    <row r="468" customFormat="1" s="12">
      <c r="D468" s="13" t="n"/>
      <c r="E468" s="8" t="n"/>
      <c r="F468" s="8" t="n"/>
      <c r="G468" s="8" t="n"/>
      <c r="H468" s="8" t="n"/>
      <c r="I468" s="8" t="n"/>
      <c r="J468" s="8" t="n"/>
      <c r="K468" s="8" t="n"/>
      <c r="L468" s="8" t="n"/>
      <c r="M468" s="8" t="n"/>
      <c r="N468" s="8" t="n"/>
      <c r="O468" s="8" t="n"/>
      <c r="P468" s="8" t="n"/>
      <c r="Q468" s="8" t="n"/>
      <c r="R468" s="8" t="n"/>
      <c r="S468" s="8" t="n"/>
      <c r="T468" s="8" t="n"/>
      <c r="U468" s="8" t="n"/>
      <c r="V468" s="8" t="n"/>
      <c r="W468" s="8" t="n"/>
      <c r="X468" s="8" t="n"/>
      <c r="Y468" s="8" t="n"/>
      <c r="Z468" s="8" t="n"/>
      <c r="AA468" s="8" t="n"/>
      <c r="AB468" s="8" t="n"/>
      <c r="AC468" s="8" t="n"/>
      <c r="AD468" s="8" t="n"/>
      <c r="AE468" s="8" t="n"/>
      <c r="AF468" s="8" t="n"/>
      <c r="AG468" s="8" t="n"/>
      <c r="AH468" s="8" t="n"/>
      <c r="AI468" s="8" t="n"/>
      <c r="AJ468" s="8" t="n"/>
      <c r="AK468" s="8" t="n"/>
      <c r="AL468" s="8" t="n"/>
      <c r="AM468" s="8" t="n"/>
      <c r="AN468" s="8" t="n"/>
      <c r="AO468" s="8" t="n"/>
      <c r="AP468" s="8" t="n"/>
      <c r="AQ468" s="8" t="n"/>
      <c r="AR468" s="8" t="n"/>
      <c r="AS468" s="8" t="n"/>
      <c r="AT468" s="8" t="n"/>
      <c r="AU468" s="8" t="n"/>
      <c r="AV468" s="8" t="n"/>
      <c r="AW468" s="8" t="n"/>
      <c r="AX468" s="8" t="n"/>
      <c r="AY468" s="8" t="n"/>
      <c r="AZ468" s="8" t="n"/>
    </row>
    <row r="469" customFormat="1" s="12">
      <c r="D469" s="13" t="n"/>
      <c r="E469" s="8" t="n"/>
      <c r="F469" s="8" t="n"/>
      <c r="G469" s="8" t="n"/>
      <c r="H469" s="8" t="n"/>
      <c r="I469" s="8" t="n"/>
      <c r="J469" s="8" t="n"/>
      <c r="K469" s="8" t="n"/>
      <c r="L469" s="8" t="n"/>
      <c r="M469" s="8" t="n"/>
      <c r="N469" s="8" t="n"/>
      <c r="O469" s="8" t="n"/>
      <c r="P469" s="8" t="n"/>
      <c r="Q469" s="8" t="n"/>
      <c r="R469" s="8" t="n"/>
      <c r="S469" s="8" t="n"/>
      <c r="T469" s="8" t="n"/>
      <c r="U469" s="8" t="n"/>
      <c r="V469" s="8" t="n"/>
      <c r="W469" s="8" t="n"/>
      <c r="X469" s="8" t="n"/>
      <c r="Y469" s="8" t="n"/>
      <c r="Z469" s="8" t="n"/>
      <c r="AA469" s="8" t="n"/>
      <c r="AB469" s="8" t="n"/>
      <c r="AC469" s="8" t="n"/>
      <c r="AD469" s="8" t="n"/>
      <c r="AE469" s="8" t="n"/>
      <c r="AF469" s="8" t="n"/>
      <c r="AG469" s="8" t="n"/>
      <c r="AH469" s="8" t="n"/>
      <c r="AI469" s="8" t="n"/>
      <c r="AJ469" s="8" t="n"/>
      <c r="AK469" s="8" t="n"/>
      <c r="AL469" s="8" t="n"/>
      <c r="AM469" s="8" t="n"/>
      <c r="AN469" s="8" t="n"/>
      <c r="AO469" s="8" t="n"/>
      <c r="AP469" s="8" t="n"/>
      <c r="AQ469" s="8" t="n"/>
      <c r="AR469" s="8" t="n"/>
      <c r="AS469" s="8" t="n"/>
      <c r="AT469" s="8" t="n"/>
      <c r="AU469" s="8" t="n"/>
      <c r="AV469" s="8" t="n"/>
      <c r="AW469" s="8" t="n"/>
      <c r="AX469" s="8" t="n"/>
      <c r="AY469" s="8" t="n"/>
      <c r="AZ469" s="8" t="n"/>
    </row>
    <row r="470" customFormat="1" s="12">
      <c r="D470" s="13" t="n"/>
      <c r="E470" s="8" t="n"/>
      <c r="F470" s="8" t="n"/>
      <c r="G470" s="8" t="n"/>
      <c r="H470" s="8" t="n"/>
      <c r="I470" s="8" t="n"/>
      <c r="J470" s="8" t="n"/>
      <c r="K470" s="8" t="n"/>
      <c r="L470" s="8" t="n"/>
      <c r="M470" s="8" t="n"/>
      <c r="N470" s="8" t="n"/>
      <c r="O470" s="8" t="n"/>
      <c r="P470" s="8" t="n"/>
      <c r="Q470" s="8" t="n"/>
      <c r="R470" s="8" t="n"/>
      <c r="S470" s="8" t="n"/>
      <c r="T470" s="8" t="n"/>
      <c r="U470" s="8" t="n"/>
      <c r="V470" s="8" t="n"/>
      <c r="W470" s="8" t="n"/>
      <c r="X470" s="8" t="n"/>
      <c r="Y470" s="8" t="n"/>
      <c r="Z470" s="8" t="n"/>
      <c r="AA470" s="8" t="n"/>
      <c r="AB470" s="8" t="n"/>
      <c r="AC470" s="8" t="n"/>
      <c r="AD470" s="8" t="n"/>
      <c r="AE470" s="8" t="n"/>
      <c r="AF470" s="8" t="n"/>
      <c r="AG470" s="8" t="n"/>
      <c r="AH470" s="8" t="n"/>
      <c r="AI470" s="8" t="n"/>
      <c r="AJ470" s="8" t="n"/>
      <c r="AK470" s="8" t="n"/>
      <c r="AL470" s="8" t="n"/>
      <c r="AM470" s="8" t="n"/>
      <c r="AN470" s="8" t="n"/>
      <c r="AO470" s="8" t="n"/>
      <c r="AP470" s="8" t="n"/>
      <c r="AQ470" s="8" t="n"/>
      <c r="AR470" s="8" t="n"/>
      <c r="AS470" s="8" t="n"/>
      <c r="AT470" s="8" t="n"/>
      <c r="AU470" s="8" t="n"/>
      <c r="AV470" s="8" t="n"/>
      <c r="AW470" s="8" t="n"/>
      <c r="AX470" s="8" t="n"/>
      <c r="AY470" s="8" t="n"/>
      <c r="AZ470" s="8" t="n"/>
    </row>
    <row r="471" customFormat="1" s="12">
      <c r="D471" s="13" t="n"/>
      <c r="E471" s="8" t="n"/>
      <c r="F471" s="8" t="n"/>
      <c r="G471" s="8" t="n"/>
      <c r="H471" s="8" t="n"/>
      <c r="I471" s="8" t="n"/>
      <c r="J471" s="8" t="n"/>
      <c r="K471" s="8" t="n"/>
      <c r="L471" s="8" t="n"/>
      <c r="M471" s="8" t="n"/>
      <c r="N471" s="8" t="n"/>
      <c r="O471" s="8" t="n"/>
      <c r="P471" s="8" t="n"/>
      <c r="Q471" s="8" t="n"/>
      <c r="R471" s="8" t="n"/>
      <c r="S471" s="8" t="n"/>
      <c r="T471" s="8" t="n"/>
      <c r="U471" s="8" t="n"/>
      <c r="V471" s="8" t="n"/>
      <c r="W471" s="8" t="n"/>
      <c r="X471" s="8" t="n"/>
      <c r="Y471" s="8" t="n"/>
      <c r="Z471" s="8" t="n"/>
      <c r="AA471" s="8" t="n"/>
      <c r="AB471" s="8" t="n"/>
      <c r="AC471" s="8" t="n"/>
      <c r="AD471" s="8" t="n"/>
      <c r="AE471" s="8" t="n"/>
      <c r="AF471" s="8" t="n"/>
      <c r="AG471" s="8" t="n"/>
      <c r="AH471" s="8" t="n"/>
      <c r="AI471" s="8" t="n"/>
      <c r="AJ471" s="8" t="n"/>
      <c r="AK471" s="8" t="n"/>
      <c r="AL471" s="8" t="n"/>
      <c r="AM471" s="8" t="n"/>
      <c r="AN471" s="8" t="n"/>
      <c r="AO471" s="8" t="n"/>
      <c r="AP471" s="8" t="n"/>
      <c r="AQ471" s="8" t="n"/>
      <c r="AR471" s="8" t="n"/>
      <c r="AS471" s="8" t="n"/>
      <c r="AT471" s="8" t="n"/>
      <c r="AU471" s="8" t="n"/>
      <c r="AV471" s="8" t="n"/>
      <c r="AW471" s="8" t="n"/>
      <c r="AX471" s="8" t="n"/>
      <c r="AY471" s="8" t="n"/>
      <c r="AZ471" s="8" t="n"/>
    </row>
    <row r="472" customFormat="1" s="12">
      <c r="D472" s="13" t="n"/>
      <c r="E472" s="8" t="n"/>
      <c r="F472" s="8" t="n"/>
      <c r="G472" s="8" t="n"/>
      <c r="H472" s="8" t="n"/>
      <c r="I472" s="8" t="n"/>
      <c r="J472" s="8" t="n"/>
      <c r="K472" s="8" t="n"/>
      <c r="L472" s="8" t="n"/>
      <c r="M472" s="8" t="n"/>
      <c r="N472" s="8" t="n"/>
      <c r="O472" s="8" t="n"/>
      <c r="P472" s="8" t="n"/>
      <c r="Q472" s="8" t="n"/>
      <c r="R472" s="8" t="n"/>
      <c r="S472" s="8" t="n"/>
      <c r="T472" s="8" t="n"/>
      <c r="U472" s="8" t="n"/>
      <c r="V472" s="8" t="n"/>
      <c r="W472" s="8" t="n"/>
      <c r="X472" s="8" t="n"/>
      <c r="Y472" s="8" t="n"/>
      <c r="Z472" s="8" t="n"/>
      <c r="AA472" s="8" t="n"/>
      <c r="AB472" s="8" t="n"/>
      <c r="AC472" s="8" t="n"/>
      <c r="AD472" s="8" t="n"/>
      <c r="AE472" s="8" t="n"/>
      <c r="AF472" s="8" t="n"/>
      <c r="AG472" s="8" t="n"/>
      <c r="AH472" s="8" t="n"/>
      <c r="AI472" s="8" t="n"/>
      <c r="AJ472" s="8" t="n"/>
      <c r="AK472" s="8" t="n"/>
      <c r="AL472" s="8" t="n"/>
      <c r="AM472" s="8" t="n"/>
      <c r="AN472" s="8" t="n"/>
      <c r="AO472" s="8" t="n"/>
      <c r="AP472" s="8" t="n"/>
      <c r="AQ472" s="8" t="n"/>
      <c r="AR472" s="8" t="n"/>
      <c r="AS472" s="8" t="n"/>
      <c r="AT472" s="8" t="n"/>
      <c r="AU472" s="8" t="n"/>
      <c r="AV472" s="8" t="n"/>
      <c r="AW472" s="8" t="n"/>
      <c r="AX472" s="8" t="n"/>
      <c r="AY472" s="8" t="n"/>
      <c r="AZ472" s="8" t="n"/>
    </row>
    <row r="473" customFormat="1" s="12">
      <c r="D473" s="13" t="n"/>
      <c r="E473" s="8" t="n"/>
      <c r="F473" s="8" t="n"/>
      <c r="G473" s="8" t="n"/>
      <c r="H473" s="8" t="n"/>
      <c r="I473" s="8" t="n"/>
      <c r="J473" s="8" t="n"/>
      <c r="K473" s="8" t="n"/>
      <c r="L473" s="8" t="n"/>
      <c r="M473" s="8" t="n"/>
      <c r="N473" s="8" t="n"/>
      <c r="O473" s="8" t="n"/>
      <c r="P473" s="8" t="n"/>
      <c r="Q473" s="8" t="n"/>
      <c r="R473" s="8" t="n"/>
      <c r="S473" s="8" t="n"/>
      <c r="T473" s="8" t="n"/>
      <c r="U473" s="8" t="n"/>
      <c r="V473" s="8" t="n"/>
      <c r="W473" s="8" t="n"/>
      <c r="X473" s="8" t="n"/>
      <c r="Y473" s="8" t="n"/>
      <c r="Z473" s="8" t="n"/>
      <c r="AA473" s="8" t="n"/>
      <c r="AB473" s="8" t="n"/>
      <c r="AC473" s="8" t="n"/>
      <c r="AD473" s="8" t="n"/>
      <c r="AE473" s="8" t="n"/>
      <c r="AF473" s="8" t="n"/>
      <c r="AG473" s="8" t="n"/>
      <c r="AH473" s="8" t="n"/>
      <c r="AI473" s="8" t="n"/>
      <c r="AJ473" s="8" t="n"/>
      <c r="AK473" s="8" t="n"/>
      <c r="AL473" s="8" t="n"/>
      <c r="AM473" s="8" t="n"/>
      <c r="AN473" s="8" t="n"/>
      <c r="AO473" s="8" t="n"/>
      <c r="AP473" s="8" t="n"/>
      <c r="AQ473" s="8" t="n"/>
      <c r="AR473" s="8" t="n"/>
      <c r="AS473" s="8" t="n"/>
      <c r="AT473" s="8" t="n"/>
      <c r="AU473" s="8" t="n"/>
      <c r="AV473" s="8" t="n"/>
      <c r="AW473" s="8" t="n"/>
      <c r="AX473" s="8" t="n"/>
      <c r="AY473" s="8" t="n"/>
      <c r="AZ473" s="8" t="n"/>
    </row>
    <row r="474" customFormat="1" s="12">
      <c r="D474" s="13" t="n"/>
      <c r="E474" s="8" t="n"/>
      <c r="F474" s="8" t="n"/>
      <c r="G474" s="8" t="n"/>
      <c r="H474" s="8" t="n"/>
      <c r="I474" s="8" t="n"/>
      <c r="J474" s="8" t="n"/>
      <c r="K474" s="8" t="n"/>
      <c r="L474" s="8" t="n"/>
      <c r="M474" s="8" t="n"/>
      <c r="N474" s="8" t="n"/>
      <c r="O474" s="8" t="n"/>
      <c r="P474" s="8" t="n"/>
      <c r="Q474" s="8" t="n"/>
      <c r="R474" s="8" t="n"/>
      <c r="S474" s="8" t="n"/>
      <c r="T474" s="8" t="n"/>
      <c r="U474" s="8" t="n"/>
      <c r="V474" s="8" t="n"/>
      <c r="W474" s="8" t="n"/>
      <c r="X474" s="8" t="n"/>
      <c r="Y474" s="8" t="n"/>
      <c r="Z474" s="8" t="n"/>
      <c r="AA474" s="8" t="n"/>
      <c r="AB474" s="8" t="n"/>
      <c r="AC474" s="8" t="n"/>
      <c r="AD474" s="8" t="n"/>
      <c r="AE474" s="8" t="n"/>
      <c r="AF474" s="8" t="n"/>
      <c r="AG474" s="8" t="n"/>
      <c r="AH474" s="8" t="n"/>
      <c r="AI474" s="8" t="n"/>
      <c r="AJ474" s="8" t="n"/>
      <c r="AK474" s="8" t="n"/>
      <c r="AL474" s="8" t="n"/>
      <c r="AM474" s="8" t="n"/>
      <c r="AN474" s="8" t="n"/>
      <c r="AO474" s="8" t="n"/>
      <c r="AP474" s="8" t="n"/>
      <c r="AQ474" s="8" t="n"/>
      <c r="AR474" s="8" t="n"/>
      <c r="AS474" s="8" t="n"/>
      <c r="AT474" s="8" t="n"/>
      <c r="AU474" s="8" t="n"/>
      <c r="AV474" s="8" t="n"/>
      <c r="AW474" s="8" t="n"/>
      <c r="AX474" s="8" t="n"/>
      <c r="AY474" s="8" t="n"/>
      <c r="AZ474" s="8" t="n"/>
    </row>
    <row r="475" customFormat="1" s="12">
      <c r="D475" s="13" t="n"/>
      <c r="E475" s="8" t="n"/>
      <c r="F475" s="8" t="n"/>
      <c r="G475" s="8" t="n"/>
      <c r="H475" s="8" t="n"/>
      <c r="I475" s="8" t="n"/>
      <c r="J475" s="8" t="n"/>
      <c r="K475" s="8" t="n"/>
      <c r="L475" s="8" t="n"/>
      <c r="M475" s="8" t="n"/>
      <c r="N475" s="8" t="n"/>
      <c r="O475" s="8" t="n"/>
      <c r="P475" s="8" t="n"/>
      <c r="Q475" s="8" t="n"/>
      <c r="R475" s="8" t="n"/>
      <c r="S475" s="8" t="n"/>
      <c r="T475" s="8" t="n"/>
      <c r="U475" s="8" t="n"/>
      <c r="V475" s="8" t="n"/>
      <c r="W475" s="8" t="n"/>
      <c r="X475" s="8" t="n"/>
      <c r="Y475" s="8" t="n"/>
      <c r="Z475" s="8" t="n"/>
      <c r="AA475" s="8" t="n"/>
      <c r="AB475" s="8" t="n"/>
      <c r="AC475" s="8" t="n"/>
      <c r="AD475" s="8" t="n"/>
      <c r="AE475" s="8" t="n"/>
      <c r="AF475" s="8" t="n"/>
      <c r="AG475" s="8" t="n"/>
      <c r="AH475" s="8" t="n"/>
      <c r="AI475" s="8" t="n"/>
      <c r="AJ475" s="8" t="n"/>
      <c r="AK475" s="8" t="n"/>
      <c r="AL475" s="8" t="n"/>
      <c r="AM475" s="8" t="n"/>
      <c r="AN475" s="8" t="n"/>
      <c r="AO475" s="8" t="n"/>
      <c r="AP475" s="8" t="n"/>
      <c r="AQ475" s="8" t="n"/>
      <c r="AR475" s="8" t="n"/>
      <c r="AS475" s="8" t="n"/>
      <c r="AT475" s="8" t="n"/>
      <c r="AU475" s="8" t="n"/>
      <c r="AV475" s="8" t="n"/>
      <c r="AW475" s="8" t="n"/>
      <c r="AX475" s="8" t="n"/>
      <c r="AY475" s="8" t="n"/>
      <c r="AZ475" s="8" t="n"/>
    </row>
    <row r="476" customFormat="1" s="12">
      <c r="D476" s="13" t="n"/>
      <c r="E476" s="8" t="n"/>
      <c r="F476" s="8" t="n"/>
      <c r="G476" s="8" t="n"/>
      <c r="H476" s="8" t="n"/>
      <c r="I476" s="8" t="n"/>
      <c r="J476" s="8" t="n"/>
      <c r="K476" s="8" t="n"/>
      <c r="L476" s="8" t="n"/>
      <c r="M476" s="8" t="n"/>
      <c r="N476" s="8" t="n"/>
      <c r="O476" s="8" t="n"/>
      <c r="P476" s="8" t="n"/>
      <c r="Q476" s="8" t="n"/>
      <c r="R476" s="8" t="n"/>
      <c r="S476" s="8" t="n"/>
      <c r="T476" s="8" t="n"/>
      <c r="U476" s="8" t="n"/>
      <c r="V476" s="8" t="n"/>
      <c r="W476" s="8" t="n"/>
      <c r="X476" s="8" t="n"/>
      <c r="Y476" s="8" t="n"/>
      <c r="Z476" s="8" t="n"/>
      <c r="AA476" s="8" t="n"/>
      <c r="AB476" s="8" t="n"/>
      <c r="AC476" s="8" t="n"/>
      <c r="AD476" s="8" t="n"/>
      <c r="AE476" s="8" t="n"/>
      <c r="AF476" s="8" t="n"/>
      <c r="AG476" s="8" t="n"/>
      <c r="AH476" s="8" t="n"/>
      <c r="AI476" s="8" t="n"/>
      <c r="AJ476" s="8" t="n"/>
      <c r="AK476" s="8" t="n"/>
      <c r="AL476" s="8" t="n"/>
      <c r="AM476" s="8" t="n"/>
      <c r="AN476" s="8" t="n"/>
      <c r="AO476" s="8" t="n"/>
      <c r="AP476" s="8" t="n"/>
      <c r="AQ476" s="8" t="n"/>
      <c r="AR476" s="8" t="n"/>
      <c r="AS476" s="8" t="n"/>
      <c r="AT476" s="8" t="n"/>
      <c r="AU476" s="8" t="n"/>
      <c r="AV476" s="8" t="n"/>
      <c r="AW476" s="8" t="n"/>
      <c r="AX476" s="8" t="n"/>
      <c r="AY476" s="8" t="n"/>
      <c r="AZ476" s="8" t="n"/>
    </row>
    <row r="477" customFormat="1" s="12">
      <c r="D477" s="13" t="n"/>
      <c r="E477" s="8" t="n"/>
      <c r="F477" s="8" t="n"/>
      <c r="G477" s="8" t="n"/>
      <c r="H477" s="8" t="n"/>
      <c r="I477" s="8" t="n"/>
      <c r="J477" s="8" t="n"/>
      <c r="K477" s="8" t="n"/>
      <c r="L477" s="8" t="n"/>
      <c r="M477" s="8" t="n"/>
      <c r="N477" s="8" t="n"/>
      <c r="O477" s="8" t="n"/>
      <c r="P477" s="8" t="n"/>
      <c r="Q477" s="8" t="n"/>
      <c r="R477" s="8" t="n"/>
      <c r="S477" s="8" t="n"/>
      <c r="T477" s="8" t="n"/>
      <c r="U477" s="8" t="n"/>
      <c r="V477" s="8" t="n"/>
      <c r="W477" s="8" t="n"/>
      <c r="X477" s="8" t="n"/>
      <c r="Y477" s="8" t="n"/>
      <c r="Z477" s="8" t="n"/>
      <c r="AA477" s="8" t="n"/>
      <c r="AB477" s="8" t="n"/>
      <c r="AC477" s="8" t="n"/>
      <c r="AD477" s="8" t="n"/>
      <c r="AE477" s="8" t="n"/>
      <c r="AF477" s="8" t="n"/>
      <c r="AG477" s="8" t="n"/>
      <c r="AH477" s="8" t="n"/>
      <c r="AI477" s="8" t="n"/>
      <c r="AJ477" s="8" t="n"/>
      <c r="AK477" s="8" t="n"/>
      <c r="AL477" s="8" t="n"/>
      <c r="AM477" s="8" t="n"/>
      <c r="AN477" s="8" t="n"/>
      <c r="AO477" s="8" t="n"/>
      <c r="AP477" s="8" t="n"/>
      <c r="AQ477" s="8" t="n"/>
      <c r="AR477" s="8" t="n"/>
      <c r="AS477" s="8" t="n"/>
      <c r="AT477" s="8" t="n"/>
      <c r="AU477" s="8" t="n"/>
      <c r="AV477" s="8" t="n"/>
      <c r="AW477" s="8" t="n"/>
      <c r="AX477" s="8" t="n"/>
      <c r="AY477" s="8" t="n"/>
      <c r="AZ477" s="8" t="n"/>
    </row>
    <row r="478" customFormat="1" s="12">
      <c r="D478" s="13" t="n"/>
      <c r="E478" s="8" t="n"/>
      <c r="F478" s="8" t="n"/>
      <c r="G478" s="8" t="n"/>
      <c r="H478" s="8" t="n"/>
      <c r="I478" s="8" t="n"/>
      <c r="J478" s="8" t="n"/>
      <c r="K478" s="8" t="n"/>
      <c r="L478" s="8" t="n"/>
      <c r="M478" s="8" t="n"/>
      <c r="N478" s="8" t="n"/>
      <c r="O478" s="8" t="n"/>
      <c r="P478" s="8" t="n"/>
      <c r="Q478" s="8" t="n"/>
      <c r="R478" s="8" t="n"/>
      <c r="S478" s="8" t="n"/>
      <c r="T478" s="8" t="n"/>
      <c r="U478" s="8" t="n"/>
      <c r="V478" s="8" t="n"/>
      <c r="W478" s="8" t="n"/>
      <c r="X478" s="8" t="n"/>
      <c r="Y478" s="8" t="n"/>
      <c r="Z478" s="8" t="n"/>
      <c r="AA478" s="8" t="n"/>
      <c r="AB478" s="8" t="n"/>
      <c r="AC478" s="8" t="n"/>
      <c r="AD478" s="8" t="n"/>
      <c r="AE478" s="8" t="n"/>
      <c r="AF478" s="8" t="n"/>
      <c r="AG478" s="8" t="n"/>
      <c r="AH478" s="8" t="n"/>
      <c r="AI478" s="8" t="n"/>
      <c r="AJ478" s="8" t="n"/>
      <c r="AK478" s="8" t="n"/>
      <c r="AL478" s="8" t="n"/>
      <c r="AM478" s="8" t="n"/>
      <c r="AN478" s="8" t="n"/>
      <c r="AO478" s="8" t="n"/>
      <c r="AP478" s="8" t="n"/>
      <c r="AQ478" s="8" t="n"/>
      <c r="AR478" s="8" t="n"/>
      <c r="AS478" s="8" t="n"/>
      <c r="AT478" s="8" t="n"/>
      <c r="AU478" s="8" t="n"/>
      <c r="AV478" s="8" t="n"/>
      <c r="AW478" s="8" t="n"/>
      <c r="AX478" s="8" t="n"/>
      <c r="AY478" s="8" t="n"/>
      <c r="AZ478" s="8" t="n"/>
    </row>
    <row r="479" customFormat="1" s="12">
      <c r="D479" s="13" t="n"/>
      <c r="E479" s="8" t="n"/>
      <c r="F479" s="8" t="n"/>
      <c r="G479" s="8" t="n"/>
      <c r="H479" s="8" t="n"/>
      <c r="I479" s="8" t="n"/>
      <c r="J479" s="8" t="n"/>
      <c r="K479" s="8" t="n"/>
      <c r="L479" s="8" t="n"/>
      <c r="M479" s="8" t="n"/>
      <c r="N479" s="8" t="n"/>
      <c r="O479" s="8" t="n"/>
      <c r="P479" s="8" t="n"/>
      <c r="Q479" s="8" t="n"/>
      <c r="R479" s="8" t="n"/>
      <c r="S479" s="8" t="n"/>
      <c r="T479" s="8" t="n"/>
      <c r="U479" s="8" t="n"/>
      <c r="V479" s="8" t="n"/>
      <c r="W479" s="8" t="n"/>
      <c r="X479" s="8" t="n"/>
      <c r="Y479" s="8" t="n"/>
      <c r="Z479" s="8" t="n"/>
      <c r="AA479" s="8" t="n"/>
      <c r="AB479" s="8" t="n"/>
      <c r="AC479" s="8" t="n"/>
      <c r="AD479" s="8" t="n"/>
      <c r="AE479" s="8" t="n"/>
      <c r="AF479" s="8" t="n"/>
      <c r="AG479" s="8" t="n"/>
      <c r="AH479" s="8" t="n"/>
      <c r="AI479" s="8" t="n"/>
      <c r="AJ479" s="8" t="n"/>
      <c r="AK479" s="8" t="n"/>
      <c r="AL479" s="8" t="n"/>
      <c r="AM479" s="8" t="n"/>
      <c r="AN479" s="8" t="n"/>
      <c r="AO479" s="8" t="n"/>
      <c r="AP479" s="8" t="n"/>
      <c r="AQ479" s="8" t="n"/>
      <c r="AR479" s="8" t="n"/>
      <c r="AS479" s="8" t="n"/>
      <c r="AT479" s="8" t="n"/>
      <c r="AU479" s="8" t="n"/>
      <c r="AV479" s="8" t="n"/>
      <c r="AW479" s="8" t="n"/>
      <c r="AX479" s="8" t="n"/>
      <c r="AY479" s="8" t="n"/>
      <c r="AZ479" s="8" t="n"/>
    </row>
    <row r="480" customFormat="1" s="12">
      <c r="D480" s="13" t="n"/>
      <c r="E480" s="8" t="n"/>
      <c r="F480" s="8" t="n"/>
      <c r="G480" s="8" t="n"/>
      <c r="H480" s="8" t="n"/>
      <c r="I480" s="8" t="n"/>
      <c r="J480" s="8" t="n"/>
      <c r="K480" s="8" t="n"/>
      <c r="L480" s="8" t="n"/>
      <c r="M480" s="8" t="n"/>
      <c r="N480" s="8" t="n"/>
      <c r="O480" s="8" t="n"/>
      <c r="P480" s="8" t="n"/>
      <c r="Q480" s="8" t="n"/>
      <c r="R480" s="8" t="n"/>
      <c r="S480" s="8" t="n"/>
      <c r="T480" s="8" t="n"/>
      <c r="U480" s="8" t="n"/>
      <c r="V480" s="8" t="n"/>
      <c r="W480" s="8" t="n"/>
      <c r="X480" s="8" t="n"/>
      <c r="Y480" s="8" t="n"/>
      <c r="Z480" s="8" t="n"/>
      <c r="AA480" s="8" t="n"/>
      <c r="AB480" s="8" t="n"/>
      <c r="AC480" s="8" t="n"/>
      <c r="AD480" s="8" t="n"/>
      <c r="AE480" s="8" t="n"/>
      <c r="AF480" s="8" t="n"/>
      <c r="AG480" s="8" t="n"/>
      <c r="AH480" s="8" t="n"/>
      <c r="AI480" s="8" t="n"/>
      <c r="AJ480" s="8" t="n"/>
      <c r="AK480" s="8" t="n"/>
      <c r="AL480" s="8" t="n"/>
      <c r="AM480" s="8" t="n"/>
      <c r="AN480" s="8" t="n"/>
      <c r="AO480" s="8" t="n"/>
      <c r="AP480" s="8" t="n"/>
      <c r="AQ480" s="8" t="n"/>
      <c r="AR480" s="8" t="n"/>
      <c r="AS480" s="8" t="n"/>
      <c r="AT480" s="8" t="n"/>
      <c r="AU480" s="8" t="n"/>
      <c r="AV480" s="8" t="n"/>
      <c r="AW480" s="8" t="n"/>
      <c r="AX480" s="8" t="n"/>
      <c r="AY480" s="8" t="n"/>
      <c r="AZ480" s="8" t="n"/>
    </row>
    <row r="481" customFormat="1" s="12">
      <c r="D481" s="13" t="n"/>
      <c r="E481" s="8" t="n"/>
      <c r="F481" s="8" t="n"/>
      <c r="G481" s="8" t="n"/>
      <c r="H481" s="8" t="n"/>
      <c r="I481" s="8" t="n"/>
      <c r="J481" s="8" t="n"/>
      <c r="K481" s="8" t="n"/>
      <c r="L481" s="8" t="n"/>
      <c r="M481" s="8" t="n"/>
      <c r="N481" s="8" t="n"/>
      <c r="O481" s="8" t="n"/>
      <c r="P481" s="8" t="n"/>
      <c r="Q481" s="8" t="n"/>
      <c r="R481" s="8" t="n"/>
      <c r="S481" s="8" t="n"/>
      <c r="T481" s="8" t="n"/>
      <c r="U481" s="8" t="n"/>
      <c r="V481" s="8" t="n"/>
      <c r="W481" s="8" t="n"/>
      <c r="X481" s="8" t="n"/>
      <c r="Y481" s="8" t="n"/>
      <c r="Z481" s="8" t="n"/>
      <c r="AA481" s="8" t="n"/>
      <c r="AB481" s="8" t="n"/>
      <c r="AC481" s="8" t="n"/>
      <c r="AD481" s="8" t="n"/>
      <c r="AE481" s="8" t="n"/>
      <c r="AF481" s="8" t="n"/>
      <c r="AG481" s="8" t="n"/>
      <c r="AH481" s="8" t="n"/>
      <c r="AI481" s="8" t="n"/>
      <c r="AJ481" s="8" t="n"/>
      <c r="AK481" s="8" t="n"/>
      <c r="AL481" s="8" t="n"/>
      <c r="AM481" s="8" t="n"/>
      <c r="AN481" s="8" t="n"/>
      <c r="AO481" s="8" t="n"/>
      <c r="AP481" s="8" t="n"/>
      <c r="AQ481" s="8" t="n"/>
      <c r="AR481" s="8" t="n"/>
      <c r="AS481" s="8" t="n"/>
      <c r="AT481" s="8" t="n"/>
      <c r="AU481" s="8" t="n"/>
      <c r="AV481" s="8" t="n"/>
      <c r="AW481" s="8" t="n"/>
      <c r="AX481" s="8" t="n"/>
      <c r="AY481" s="8" t="n"/>
      <c r="AZ481" s="8" t="n"/>
    </row>
    <row r="482" customFormat="1" s="12">
      <c r="D482" s="13" t="n"/>
      <c r="E482" s="8" t="n"/>
      <c r="F482" s="8" t="n"/>
      <c r="G482" s="8" t="n"/>
      <c r="H482" s="8" t="n"/>
      <c r="I482" s="8" t="n"/>
      <c r="J482" s="8" t="n"/>
      <c r="K482" s="8" t="n"/>
      <c r="L482" s="8" t="n"/>
      <c r="M482" s="8" t="n"/>
      <c r="N482" s="8" t="n"/>
      <c r="O482" s="8" t="n"/>
      <c r="P482" s="8" t="n"/>
      <c r="Q482" s="8" t="n"/>
      <c r="R482" s="8" t="n"/>
      <c r="S482" s="8" t="n"/>
      <c r="T482" s="8" t="n"/>
      <c r="U482" s="8" t="n"/>
      <c r="V482" s="8" t="n"/>
      <c r="W482" s="8" t="n"/>
      <c r="X482" s="8" t="n"/>
      <c r="Y482" s="8" t="n"/>
      <c r="Z482" s="8" t="n"/>
      <c r="AA482" s="8" t="n"/>
      <c r="AB482" s="8" t="n"/>
      <c r="AC482" s="8" t="n"/>
      <c r="AD482" s="8" t="n"/>
      <c r="AE482" s="8" t="n"/>
      <c r="AF482" s="8" t="n"/>
      <c r="AG482" s="8" t="n"/>
      <c r="AH482" s="8" t="n"/>
      <c r="AI482" s="8" t="n"/>
      <c r="AJ482" s="8" t="n"/>
      <c r="AK482" s="8" t="n"/>
      <c r="AL482" s="8" t="n"/>
      <c r="AM482" s="8" t="n"/>
      <c r="AN482" s="8" t="n"/>
      <c r="AO482" s="8" t="n"/>
      <c r="AP482" s="8" t="n"/>
      <c r="AQ482" s="8" t="n"/>
      <c r="AR482" s="8" t="n"/>
      <c r="AS482" s="8" t="n"/>
      <c r="AT482" s="8" t="n"/>
      <c r="AU482" s="8" t="n"/>
      <c r="AV482" s="8" t="n"/>
      <c r="AW482" s="8" t="n"/>
      <c r="AX482" s="8" t="n"/>
      <c r="AY482" s="8" t="n"/>
      <c r="AZ482" s="8" t="n"/>
    </row>
    <row r="483" customFormat="1" s="12">
      <c r="D483" s="13" t="n"/>
      <c r="E483" s="8" t="n"/>
      <c r="F483" s="8" t="n"/>
      <c r="G483" s="8" t="n"/>
      <c r="H483" s="8" t="n"/>
      <c r="I483" s="8" t="n"/>
      <c r="J483" s="8" t="n"/>
      <c r="K483" s="8" t="n"/>
      <c r="L483" s="8" t="n"/>
      <c r="M483" s="8" t="n"/>
      <c r="N483" s="8" t="n"/>
      <c r="O483" s="8" t="n"/>
      <c r="P483" s="8" t="n"/>
      <c r="Q483" s="8" t="n"/>
      <c r="R483" s="8" t="n"/>
      <c r="S483" s="8" t="n"/>
      <c r="T483" s="8" t="n"/>
      <c r="U483" s="8" t="n"/>
      <c r="V483" s="8" t="n"/>
      <c r="W483" s="8" t="n"/>
      <c r="X483" s="8" t="n"/>
      <c r="Y483" s="8" t="n"/>
      <c r="Z483" s="8" t="n"/>
      <c r="AA483" s="8" t="n"/>
      <c r="AB483" s="8" t="n"/>
      <c r="AC483" s="8" t="n"/>
      <c r="AD483" s="8" t="n"/>
      <c r="AE483" s="8" t="n"/>
      <c r="AF483" s="8" t="n"/>
      <c r="AG483" s="8" t="n"/>
      <c r="AH483" s="8" t="n"/>
      <c r="AI483" s="8" t="n"/>
      <c r="AJ483" s="8" t="n"/>
      <c r="AK483" s="8" t="n"/>
      <c r="AL483" s="8" t="n"/>
      <c r="AM483" s="8" t="n"/>
      <c r="AN483" s="8" t="n"/>
      <c r="AO483" s="8" t="n"/>
      <c r="AP483" s="8" t="n"/>
      <c r="AQ483" s="8" t="n"/>
      <c r="AR483" s="8" t="n"/>
      <c r="AS483" s="8" t="n"/>
      <c r="AT483" s="8" t="n"/>
      <c r="AU483" s="8" t="n"/>
      <c r="AV483" s="8" t="n"/>
      <c r="AW483" s="8" t="n"/>
      <c r="AX483" s="8" t="n"/>
      <c r="AY483" s="8" t="n"/>
      <c r="AZ483" s="8" t="n"/>
    </row>
    <row r="484" customFormat="1" s="12">
      <c r="D484" s="13" t="n"/>
      <c r="E484" s="8" t="n"/>
      <c r="F484" s="8" t="n"/>
      <c r="G484" s="8" t="n"/>
      <c r="H484" s="8" t="n"/>
      <c r="I484" s="8" t="n"/>
      <c r="J484" s="8" t="n"/>
      <c r="K484" s="8" t="n"/>
      <c r="L484" s="8" t="n"/>
      <c r="M484" s="8" t="n"/>
      <c r="N484" s="8" t="n"/>
      <c r="O484" s="8" t="n"/>
      <c r="P484" s="8" t="n"/>
      <c r="Q484" s="8" t="n"/>
      <c r="R484" s="8" t="n"/>
      <c r="S484" s="8" t="n"/>
      <c r="T484" s="8" t="n"/>
      <c r="U484" s="8" t="n"/>
      <c r="V484" s="8" t="n"/>
      <c r="W484" s="8" t="n"/>
      <c r="X484" s="8" t="n"/>
      <c r="Y484" s="8" t="n"/>
      <c r="Z484" s="8" t="n"/>
      <c r="AA484" s="8" t="n"/>
      <c r="AB484" s="8" t="n"/>
      <c r="AC484" s="8" t="n"/>
      <c r="AD484" s="8" t="n"/>
      <c r="AE484" s="8" t="n"/>
      <c r="AF484" s="8" t="n"/>
      <c r="AG484" s="8" t="n"/>
      <c r="AH484" s="8" t="n"/>
      <c r="AI484" s="8" t="n"/>
      <c r="AJ484" s="8" t="n"/>
      <c r="AK484" s="8" t="n"/>
      <c r="AL484" s="8" t="n"/>
      <c r="AM484" s="8" t="n"/>
      <c r="AN484" s="8" t="n"/>
      <c r="AO484" s="8" t="n"/>
      <c r="AP484" s="8" t="n"/>
      <c r="AQ484" s="8" t="n"/>
      <c r="AR484" s="8" t="n"/>
      <c r="AS484" s="8" t="n"/>
      <c r="AT484" s="8" t="n"/>
      <c r="AU484" s="8" t="n"/>
      <c r="AV484" s="8" t="n"/>
      <c r="AW484" s="8" t="n"/>
      <c r="AX484" s="8" t="n"/>
      <c r="AY484" s="8" t="n"/>
      <c r="AZ484" s="8" t="n"/>
    </row>
    <row r="485" customFormat="1" s="12">
      <c r="D485" s="13" t="n"/>
      <c r="E485" s="8" t="n"/>
      <c r="F485" s="8" t="n"/>
      <c r="G485" s="8" t="n"/>
      <c r="H485" s="8" t="n"/>
      <c r="I485" s="8" t="n"/>
      <c r="J485" s="8" t="n"/>
      <c r="K485" s="8" t="n"/>
      <c r="L485" s="8" t="n"/>
      <c r="M485" s="8" t="n"/>
      <c r="N485" s="8" t="n"/>
      <c r="O485" s="8" t="n"/>
      <c r="P485" s="8" t="n"/>
      <c r="Q485" s="8" t="n"/>
      <c r="R485" s="8" t="n"/>
      <c r="S485" s="8" t="n"/>
      <c r="T485" s="8" t="n"/>
      <c r="U485" s="8" t="n"/>
      <c r="V485" s="8" t="n"/>
      <c r="W485" s="8" t="n"/>
      <c r="X485" s="8" t="n"/>
      <c r="Y485" s="8" t="n"/>
      <c r="Z485" s="8" t="n"/>
      <c r="AA485" s="8" t="n"/>
      <c r="AB485" s="8" t="n"/>
      <c r="AC485" s="8" t="n"/>
      <c r="AD485" s="8" t="n"/>
      <c r="AE485" s="8" t="n"/>
      <c r="AF485" s="8" t="n"/>
      <c r="AG485" s="8" t="n"/>
      <c r="AH485" s="8" t="n"/>
      <c r="AI485" s="8" t="n"/>
      <c r="AJ485" s="8" t="n"/>
      <c r="AK485" s="8" t="n"/>
      <c r="AL485" s="8" t="n"/>
      <c r="AM485" s="8" t="n"/>
      <c r="AN485" s="8" t="n"/>
      <c r="AO485" s="8" t="n"/>
      <c r="AP485" s="8" t="n"/>
      <c r="AQ485" s="8" t="n"/>
      <c r="AR485" s="8" t="n"/>
      <c r="AS485" s="8" t="n"/>
      <c r="AT485" s="8" t="n"/>
      <c r="AU485" s="8" t="n"/>
      <c r="AV485" s="8" t="n"/>
      <c r="AW485" s="8" t="n"/>
      <c r="AX485" s="8" t="n"/>
      <c r="AY485" s="8" t="n"/>
      <c r="AZ485" s="8" t="n"/>
    </row>
    <row r="486" customFormat="1" s="12">
      <c r="D486" s="13" t="n"/>
      <c r="E486" s="8" t="n"/>
      <c r="F486" s="8" t="n"/>
      <c r="G486" s="8" t="n"/>
      <c r="H486" s="8" t="n"/>
      <c r="I486" s="8" t="n"/>
      <c r="J486" s="8" t="n"/>
      <c r="K486" s="8" t="n"/>
      <c r="L486" s="8" t="n"/>
      <c r="M486" s="8" t="n"/>
      <c r="N486" s="8" t="n"/>
      <c r="O486" s="8" t="n"/>
      <c r="P486" s="8" t="n"/>
      <c r="Q486" s="8" t="n"/>
      <c r="R486" s="8" t="n"/>
      <c r="S486" s="8" t="n"/>
      <c r="T486" s="8" t="n"/>
      <c r="U486" s="8" t="n"/>
      <c r="V486" s="8" t="n"/>
      <c r="W486" s="8" t="n"/>
      <c r="X486" s="8" t="n"/>
      <c r="Y486" s="8" t="n"/>
      <c r="Z486" s="8" t="n"/>
      <c r="AA486" s="8" t="n"/>
      <c r="AB486" s="8" t="n"/>
      <c r="AC486" s="8" t="n"/>
      <c r="AD486" s="8" t="n"/>
      <c r="AE486" s="8" t="n"/>
      <c r="AF486" s="8" t="n"/>
      <c r="AG486" s="8" t="n"/>
      <c r="AH486" s="8" t="n"/>
      <c r="AI486" s="8" t="n"/>
      <c r="AJ486" s="8" t="n"/>
      <c r="AK486" s="8" t="n"/>
      <c r="AL486" s="8" t="n"/>
      <c r="AM486" s="8" t="n"/>
      <c r="AN486" s="8" t="n"/>
      <c r="AO486" s="8" t="n"/>
      <c r="AP486" s="8" t="n"/>
      <c r="AQ486" s="8" t="n"/>
      <c r="AR486" s="8" t="n"/>
      <c r="AS486" s="8" t="n"/>
      <c r="AT486" s="8" t="n"/>
      <c r="AU486" s="8" t="n"/>
      <c r="AV486" s="8" t="n"/>
      <c r="AW486" s="8" t="n"/>
      <c r="AX486" s="8" t="n"/>
      <c r="AY486" s="8" t="n"/>
      <c r="AZ486" s="8" t="n"/>
    </row>
    <row r="487" customFormat="1" s="12">
      <c r="D487" s="13" t="n"/>
      <c r="E487" s="8" t="n"/>
      <c r="F487" s="8" t="n"/>
      <c r="G487" s="8" t="n"/>
      <c r="H487" s="8" t="n"/>
      <c r="I487" s="8" t="n"/>
      <c r="J487" s="8" t="n"/>
      <c r="K487" s="8" t="n"/>
      <c r="L487" s="8" t="n"/>
      <c r="M487" s="8" t="n"/>
      <c r="N487" s="8" t="n"/>
      <c r="O487" s="8" t="n"/>
      <c r="P487" s="8" t="n"/>
      <c r="Q487" s="8" t="n"/>
      <c r="R487" s="8" t="n"/>
      <c r="S487" s="8" t="n"/>
      <c r="T487" s="8" t="n"/>
      <c r="U487" s="8" t="n"/>
      <c r="V487" s="8" t="n"/>
      <c r="W487" s="8" t="n"/>
      <c r="X487" s="8" t="n"/>
      <c r="Y487" s="8" t="n"/>
      <c r="Z487" s="8" t="n"/>
      <c r="AA487" s="8" t="n"/>
      <c r="AB487" s="8" t="n"/>
      <c r="AC487" s="8" t="n"/>
      <c r="AD487" s="8" t="n"/>
      <c r="AE487" s="8" t="n"/>
      <c r="AF487" s="8" t="n"/>
      <c r="AG487" s="8" t="n"/>
      <c r="AH487" s="8" t="n"/>
      <c r="AI487" s="8" t="n"/>
      <c r="AJ487" s="8" t="n"/>
      <c r="AK487" s="8" t="n"/>
      <c r="AL487" s="8" t="n"/>
      <c r="AM487" s="8" t="n"/>
      <c r="AN487" s="8" t="n"/>
      <c r="AO487" s="8" t="n"/>
      <c r="AP487" s="8" t="n"/>
      <c r="AQ487" s="8" t="n"/>
      <c r="AR487" s="8" t="n"/>
      <c r="AS487" s="8" t="n"/>
      <c r="AT487" s="8" t="n"/>
      <c r="AU487" s="8" t="n"/>
      <c r="AV487" s="8" t="n"/>
      <c r="AW487" s="8" t="n"/>
      <c r="AX487" s="8" t="n"/>
      <c r="AY487" s="8" t="n"/>
      <c r="AZ487" s="8" t="n"/>
    </row>
    <row r="488" customFormat="1" s="12">
      <c r="D488" s="13" t="n"/>
      <c r="E488" s="8" t="n"/>
      <c r="F488" s="8" t="n"/>
      <c r="G488" s="8" t="n"/>
      <c r="H488" s="8" t="n"/>
      <c r="I488" s="8" t="n"/>
      <c r="J488" s="8" t="n"/>
      <c r="K488" s="8" t="n"/>
      <c r="L488" s="8" t="n"/>
      <c r="M488" s="8" t="n"/>
      <c r="N488" s="8" t="n"/>
      <c r="O488" s="8" t="n"/>
      <c r="P488" s="8" t="n"/>
      <c r="Q488" s="8" t="n"/>
      <c r="R488" s="8" t="n"/>
      <c r="S488" s="8" t="n"/>
      <c r="T488" s="8" t="n"/>
      <c r="U488" s="8" t="n"/>
      <c r="V488" s="8" t="n"/>
      <c r="W488" s="8" t="n"/>
      <c r="X488" s="8" t="n"/>
      <c r="Y488" s="8" t="n"/>
      <c r="Z488" s="8" t="n"/>
      <c r="AA488" s="8" t="n"/>
      <c r="AB488" s="8" t="n"/>
      <c r="AC488" s="8" t="n"/>
      <c r="AD488" s="8" t="n"/>
      <c r="AE488" s="8" t="n"/>
      <c r="AF488" s="8" t="n"/>
      <c r="AG488" s="8" t="n"/>
      <c r="AH488" s="8" t="n"/>
      <c r="AI488" s="8" t="n"/>
      <c r="AJ488" s="8" t="n"/>
      <c r="AK488" s="8" t="n"/>
      <c r="AL488" s="8" t="n"/>
      <c r="AM488" s="8" t="n"/>
      <c r="AN488" s="8" t="n"/>
      <c r="AO488" s="8" t="n"/>
      <c r="AP488" s="8" t="n"/>
      <c r="AQ488" s="8" t="n"/>
      <c r="AR488" s="8" t="n"/>
      <c r="AS488" s="8" t="n"/>
      <c r="AT488" s="8" t="n"/>
      <c r="AU488" s="8" t="n"/>
      <c r="AV488" s="8" t="n"/>
      <c r="AW488" s="8" t="n"/>
      <c r="AX488" s="8" t="n"/>
      <c r="AY488" s="8" t="n"/>
      <c r="AZ488" s="8" t="n"/>
    </row>
    <row r="489" customFormat="1" s="12">
      <c r="D489" s="13" t="n"/>
      <c r="E489" s="8" t="n"/>
      <c r="F489" s="8" t="n"/>
      <c r="G489" s="8" t="n"/>
      <c r="H489" s="8" t="n"/>
      <c r="I489" s="8" t="n"/>
      <c r="J489" s="8" t="n"/>
      <c r="K489" s="8" t="n"/>
      <c r="L489" s="8" t="n"/>
      <c r="M489" s="8" t="n"/>
      <c r="N489" s="8" t="n"/>
      <c r="O489" s="8" t="n"/>
      <c r="P489" s="8" t="n"/>
      <c r="Q489" s="8" t="n"/>
      <c r="R489" s="8" t="n"/>
      <c r="S489" s="8" t="n"/>
      <c r="T489" s="8" t="n"/>
      <c r="U489" s="8" t="n"/>
      <c r="V489" s="8" t="n"/>
      <c r="W489" s="8" t="n"/>
      <c r="X489" s="8" t="n"/>
      <c r="Y489" s="8" t="n"/>
      <c r="Z489" s="8" t="n"/>
      <c r="AA489" s="8" t="n"/>
      <c r="AB489" s="8" t="n"/>
      <c r="AC489" s="8" t="n"/>
      <c r="AD489" s="8" t="n"/>
      <c r="AE489" s="8" t="n"/>
      <c r="AF489" s="8" t="n"/>
      <c r="AG489" s="8" t="n"/>
      <c r="AH489" s="8" t="n"/>
      <c r="AI489" s="8" t="n"/>
      <c r="AJ489" s="8" t="n"/>
      <c r="AK489" s="8" t="n"/>
      <c r="AL489" s="8" t="n"/>
      <c r="AM489" s="8" t="n"/>
      <c r="AN489" s="8" t="n"/>
      <c r="AO489" s="8" t="n"/>
      <c r="AP489" s="8" t="n"/>
      <c r="AQ489" s="8" t="n"/>
      <c r="AR489" s="8" t="n"/>
      <c r="AS489" s="8" t="n"/>
      <c r="AT489" s="8" t="n"/>
      <c r="AU489" s="8" t="n"/>
      <c r="AV489" s="8" t="n"/>
      <c r="AW489" s="8" t="n"/>
      <c r="AX489" s="8" t="n"/>
      <c r="AY489" s="8" t="n"/>
      <c r="AZ489" s="8" t="n"/>
    </row>
    <row r="490" customFormat="1" s="12">
      <c r="D490" s="13" t="n"/>
      <c r="E490" s="8" t="n"/>
      <c r="F490" s="8" t="n"/>
      <c r="G490" s="8" t="n"/>
      <c r="H490" s="8" t="n"/>
      <c r="I490" s="8" t="n"/>
      <c r="J490" s="8" t="n"/>
      <c r="K490" s="8" t="n"/>
      <c r="L490" s="8" t="n"/>
      <c r="M490" s="8" t="n"/>
      <c r="N490" s="8" t="n"/>
      <c r="O490" s="8" t="n"/>
      <c r="P490" s="8" t="n"/>
      <c r="Q490" s="8" t="n"/>
      <c r="R490" s="8" t="n"/>
      <c r="S490" s="8" t="n"/>
      <c r="T490" s="8" t="n"/>
      <c r="U490" s="8" t="n"/>
      <c r="V490" s="8" t="n"/>
      <c r="W490" s="8" t="n"/>
      <c r="X490" s="8" t="n"/>
      <c r="Y490" s="8" t="n"/>
      <c r="Z490" s="8" t="n"/>
      <c r="AA490" s="8" t="n"/>
      <c r="AB490" s="8" t="n"/>
      <c r="AC490" s="8" t="n"/>
      <c r="AD490" s="8" t="n"/>
      <c r="AE490" s="8" t="n"/>
      <c r="AF490" s="8" t="n"/>
      <c r="AG490" s="8" t="n"/>
      <c r="AH490" s="8" t="n"/>
      <c r="AI490" s="8" t="n"/>
      <c r="AJ490" s="8" t="n"/>
      <c r="AK490" s="8" t="n"/>
      <c r="AL490" s="8" t="n"/>
      <c r="AM490" s="8" t="n"/>
      <c r="AN490" s="8" t="n"/>
      <c r="AO490" s="8" t="n"/>
      <c r="AP490" s="8" t="n"/>
      <c r="AQ490" s="8" t="n"/>
      <c r="AR490" s="8" t="n"/>
      <c r="AS490" s="8" t="n"/>
      <c r="AT490" s="8" t="n"/>
      <c r="AU490" s="8" t="n"/>
      <c r="AV490" s="8" t="n"/>
      <c r="AW490" s="8" t="n"/>
      <c r="AX490" s="8" t="n"/>
      <c r="AY490" s="8" t="n"/>
      <c r="AZ490" s="8" t="n"/>
    </row>
    <row r="491" customFormat="1" s="12">
      <c r="D491" s="13" t="n"/>
      <c r="E491" s="8" t="n"/>
      <c r="F491" s="8" t="n"/>
      <c r="G491" s="8" t="n"/>
      <c r="H491" s="8" t="n"/>
      <c r="I491" s="8" t="n"/>
      <c r="J491" s="8" t="n"/>
      <c r="K491" s="8" t="n"/>
      <c r="L491" s="8" t="n"/>
      <c r="M491" s="8" t="n"/>
      <c r="N491" s="8" t="n"/>
      <c r="O491" s="8" t="n"/>
      <c r="P491" s="8" t="n"/>
      <c r="Q491" s="8" t="n"/>
      <c r="R491" s="8" t="n"/>
      <c r="S491" s="8" t="n"/>
      <c r="T491" s="8" t="n"/>
      <c r="U491" s="8" t="n"/>
      <c r="V491" s="8" t="n"/>
      <c r="W491" s="8" t="n"/>
      <c r="X491" s="8" t="n"/>
      <c r="Y491" s="8" t="n"/>
      <c r="Z491" s="8" t="n"/>
      <c r="AA491" s="8" t="n"/>
      <c r="AB491" s="8" t="n"/>
      <c r="AC491" s="8" t="n"/>
      <c r="AD491" s="8" t="n"/>
      <c r="AE491" s="8" t="n"/>
      <c r="AF491" s="8" t="n"/>
      <c r="AG491" s="8" t="n"/>
      <c r="AH491" s="8" t="n"/>
      <c r="AI491" s="8" t="n"/>
      <c r="AJ491" s="8" t="n"/>
      <c r="AK491" s="8" t="n"/>
      <c r="AL491" s="8" t="n"/>
      <c r="AM491" s="8" t="n"/>
      <c r="AN491" s="8" t="n"/>
      <c r="AO491" s="8" t="n"/>
      <c r="AP491" s="8" t="n"/>
      <c r="AQ491" s="8" t="n"/>
      <c r="AR491" s="8" t="n"/>
      <c r="AS491" s="8" t="n"/>
      <c r="AT491" s="8" t="n"/>
      <c r="AU491" s="8" t="n"/>
      <c r="AV491" s="8" t="n"/>
      <c r="AW491" s="8" t="n"/>
      <c r="AX491" s="8" t="n"/>
      <c r="AY491" s="8" t="n"/>
      <c r="AZ491" s="8" t="n"/>
    </row>
    <row r="492" customFormat="1" s="12">
      <c r="D492" s="13" t="n"/>
      <c r="E492" s="8" t="n"/>
      <c r="F492" s="8" t="n"/>
      <c r="G492" s="8" t="n"/>
      <c r="H492" s="8" t="n"/>
      <c r="I492" s="8" t="n"/>
      <c r="J492" s="8" t="n"/>
      <c r="K492" s="8" t="n"/>
      <c r="L492" s="8" t="n"/>
      <c r="M492" s="8" t="n"/>
      <c r="N492" s="8" t="n"/>
      <c r="O492" s="8" t="n"/>
      <c r="P492" s="8" t="n"/>
      <c r="Q492" s="8" t="n"/>
      <c r="R492" s="8" t="n"/>
      <c r="S492" s="8" t="n"/>
      <c r="T492" s="8" t="n"/>
      <c r="U492" s="8" t="n"/>
      <c r="V492" s="8" t="n"/>
      <c r="W492" s="8" t="n"/>
      <c r="X492" s="8" t="n"/>
      <c r="Y492" s="8" t="n"/>
      <c r="Z492" s="8" t="n"/>
      <c r="AA492" s="8" t="n"/>
      <c r="AB492" s="8" t="n"/>
      <c r="AC492" s="8" t="n"/>
      <c r="AD492" s="8" t="n"/>
      <c r="AE492" s="8" t="n"/>
      <c r="AF492" s="8" t="n"/>
      <c r="AG492" s="8" t="n"/>
      <c r="AH492" s="8" t="n"/>
      <c r="AI492" s="8" t="n"/>
      <c r="AJ492" s="8" t="n"/>
      <c r="AK492" s="8" t="n"/>
      <c r="AL492" s="8" t="n"/>
      <c r="AM492" s="8" t="n"/>
      <c r="AN492" s="8" t="n"/>
      <c r="AO492" s="8" t="n"/>
      <c r="AP492" s="8" t="n"/>
      <c r="AQ492" s="8" t="n"/>
      <c r="AR492" s="8" t="n"/>
      <c r="AS492" s="8" t="n"/>
      <c r="AT492" s="8" t="n"/>
      <c r="AU492" s="8" t="n"/>
      <c r="AV492" s="8" t="n"/>
      <c r="AW492" s="8" t="n"/>
      <c r="AX492" s="8" t="n"/>
      <c r="AY492" s="8" t="n"/>
      <c r="AZ492" s="8" t="n"/>
    </row>
    <row r="493" customFormat="1" s="12">
      <c r="D493" s="13" t="n"/>
      <c r="E493" s="8" t="n"/>
      <c r="F493" s="8" t="n"/>
      <c r="G493" s="8" t="n"/>
      <c r="H493" s="8" t="n"/>
      <c r="I493" s="8" t="n"/>
      <c r="J493" s="8" t="n"/>
      <c r="K493" s="8" t="n"/>
      <c r="L493" s="8" t="n"/>
      <c r="M493" s="8" t="n"/>
      <c r="N493" s="8" t="n"/>
      <c r="O493" s="8" t="n"/>
      <c r="P493" s="8" t="n"/>
      <c r="Q493" s="8" t="n"/>
      <c r="R493" s="8" t="n"/>
      <c r="S493" s="8" t="n"/>
      <c r="T493" s="8" t="n"/>
      <c r="U493" s="8" t="n"/>
      <c r="V493" s="8" t="n"/>
      <c r="W493" s="8" t="n"/>
      <c r="X493" s="8" t="n"/>
      <c r="Y493" s="8" t="n"/>
      <c r="Z493" s="8" t="n"/>
      <c r="AA493" s="8" t="n"/>
      <c r="AB493" s="8" t="n"/>
      <c r="AC493" s="8" t="n"/>
      <c r="AD493" s="8" t="n"/>
      <c r="AE493" s="8" t="n"/>
      <c r="AF493" s="8" t="n"/>
      <c r="AG493" s="8" t="n"/>
      <c r="AH493" s="8" t="n"/>
      <c r="AI493" s="8" t="n"/>
      <c r="AJ493" s="8" t="n"/>
      <c r="AK493" s="8" t="n"/>
      <c r="AL493" s="8" t="n"/>
      <c r="AM493" s="8" t="n"/>
      <c r="AN493" s="8" t="n"/>
      <c r="AO493" s="8" t="n"/>
      <c r="AP493" s="8" t="n"/>
      <c r="AQ493" s="8" t="n"/>
      <c r="AR493" s="8" t="n"/>
      <c r="AS493" s="8" t="n"/>
      <c r="AT493" s="8" t="n"/>
      <c r="AU493" s="8" t="n"/>
      <c r="AV493" s="8" t="n"/>
      <c r="AW493" s="8" t="n"/>
      <c r="AX493" s="8" t="n"/>
      <c r="AY493" s="8" t="n"/>
      <c r="AZ493" s="8" t="n"/>
    </row>
    <row r="494" customFormat="1" s="12">
      <c r="D494" s="13" t="n"/>
      <c r="E494" s="8" t="n"/>
      <c r="F494" s="8" t="n"/>
      <c r="G494" s="8" t="n"/>
      <c r="H494" s="8" t="n"/>
      <c r="I494" s="8" t="n"/>
      <c r="J494" s="8" t="n"/>
      <c r="K494" s="8" t="n"/>
      <c r="L494" s="8" t="n"/>
      <c r="M494" s="8" t="n"/>
      <c r="N494" s="8" t="n"/>
      <c r="O494" s="8" t="n"/>
      <c r="P494" s="8" t="n"/>
      <c r="Q494" s="8" t="n"/>
      <c r="R494" s="8" t="n"/>
      <c r="S494" s="8" t="n"/>
      <c r="T494" s="8" t="n"/>
      <c r="U494" s="8" t="n"/>
      <c r="V494" s="8" t="n"/>
      <c r="W494" s="8" t="n"/>
      <c r="X494" s="8" t="n"/>
      <c r="Y494" s="8" t="n"/>
      <c r="Z494" s="8" t="n"/>
      <c r="AA494" s="8" t="n"/>
      <c r="AB494" s="8" t="n"/>
      <c r="AC494" s="8" t="n"/>
      <c r="AD494" s="8" t="n"/>
      <c r="AE494" s="8" t="n"/>
      <c r="AF494" s="8" t="n"/>
      <c r="AG494" s="8" t="n"/>
      <c r="AH494" s="8" t="n"/>
      <c r="AI494" s="8" t="n"/>
      <c r="AJ494" s="8" t="n"/>
      <c r="AK494" s="8" t="n"/>
      <c r="AL494" s="8" t="n"/>
      <c r="AM494" s="8" t="n"/>
      <c r="AN494" s="8" t="n"/>
      <c r="AO494" s="8" t="n"/>
      <c r="AP494" s="8" t="n"/>
      <c r="AQ494" s="8" t="n"/>
      <c r="AR494" s="8" t="n"/>
      <c r="AS494" s="8" t="n"/>
      <c r="AT494" s="8" t="n"/>
      <c r="AU494" s="8" t="n"/>
      <c r="AV494" s="8" t="n"/>
      <c r="AW494" s="8" t="n"/>
      <c r="AX494" s="8" t="n"/>
      <c r="AY494" s="8" t="n"/>
      <c r="AZ494" s="8" t="n"/>
    </row>
    <row r="495" customFormat="1" s="12">
      <c r="D495" s="13" t="n"/>
      <c r="E495" s="8" t="n"/>
      <c r="F495" s="8" t="n"/>
      <c r="G495" s="8" t="n"/>
      <c r="H495" s="8" t="n"/>
      <c r="I495" s="8" t="n"/>
      <c r="J495" s="8" t="n"/>
      <c r="K495" s="8" t="n"/>
      <c r="L495" s="8" t="n"/>
      <c r="M495" s="8" t="n"/>
      <c r="N495" s="8" t="n"/>
      <c r="O495" s="8" t="n"/>
      <c r="P495" s="8" t="n"/>
      <c r="Q495" s="8" t="n"/>
      <c r="R495" s="8" t="n"/>
      <c r="S495" s="8" t="n"/>
      <c r="T495" s="8" t="n"/>
      <c r="U495" s="8" t="n"/>
      <c r="V495" s="8" t="n"/>
      <c r="W495" s="8" t="n"/>
      <c r="X495" s="8" t="n"/>
      <c r="Y495" s="8" t="n"/>
      <c r="Z495" s="8" t="n"/>
      <c r="AA495" s="8" t="n"/>
      <c r="AB495" s="8" t="n"/>
      <c r="AC495" s="8" t="n"/>
      <c r="AD495" s="8" t="n"/>
      <c r="AE495" s="8" t="n"/>
      <c r="AF495" s="8" t="n"/>
      <c r="AG495" s="8" t="n"/>
      <c r="AH495" s="8" t="n"/>
      <c r="AI495" s="8" t="n"/>
      <c r="AJ495" s="8" t="n"/>
      <c r="AK495" s="8" t="n"/>
      <c r="AL495" s="8" t="n"/>
      <c r="AM495" s="8" t="n"/>
      <c r="AN495" s="8" t="n"/>
      <c r="AO495" s="8" t="n"/>
      <c r="AP495" s="8" t="n"/>
      <c r="AQ495" s="8" t="n"/>
      <c r="AR495" s="8" t="n"/>
      <c r="AS495" s="8" t="n"/>
      <c r="AT495" s="8" t="n"/>
      <c r="AU495" s="8" t="n"/>
      <c r="AV495" s="8" t="n"/>
      <c r="AW495" s="8" t="n"/>
      <c r="AX495" s="8" t="n"/>
      <c r="AY495" s="8" t="n"/>
      <c r="AZ495" s="8" t="n"/>
    </row>
    <row r="496" customFormat="1" s="12">
      <c r="D496" s="13" t="n"/>
      <c r="E496" s="8" t="n"/>
      <c r="F496" s="8" t="n"/>
      <c r="G496" s="8" t="n"/>
      <c r="H496" s="8" t="n"/>
      <c r="I496" s="8" t="n"/>
      <c r="J496" s="8" t="n"/>
      <c r="K496" s="8" t="n"/>
      <c r="L496" s="8" t="n"/>
      <c r="M496" s="8" t="n"/>
      <c r="N496" s="8" t="n"/>
      <c r="O496" s="8" t="n"/>
      <c r="P496" s="8" t="n"/>
      <c r="Q496" s="8" t="n"/>
      <c r="R496" s="8" t="n"/>
      <c r="S496" s="8" t="n"/>
      <c r="T496" s="8" t="n"/>
      <c r="U496" s="8" t="n"/>
      <c r="V496" s="8" t="n"/>
      <c r="W496" s="8" t="n"/>
      <c r="X496" s="8" t="n"/>
      <c r="Y496" s="8" t="n"/>
      <c r="Z496" s="8" t="n"/>
      <c r="AA496" s="8" t="n"/>
      <c r="AB496" s="8" t="n"/>
      <c r="AC496" s="8" t="n"/>
      <c r="AD496" s="8" t="n"/>
      <c r="AE496" s="8" t="n"/>
      <c r="AF496" s="8" t="n"/>
      <c r="AG496" s="8" t="n"/>
      <c r="AH496" s="8" t="n"/>
      <c r="AI496" s="8" t="n"/>
      <c r="AJ496" s="8" t="n"/>
      <c r="AK496" s="8" t="n"/>
      <c r="AL496" s="8" t="n"/>
      <c r="AM496" s="8" t="n"/>
      <c r="AN496" s="8" t="n"/>
      <c r="AO496" s="8" t="n"/>
      <c r="AP496" s="8" t="n"/>
      <c r="AQ496" s="8" t="n"/>
      <c r="AR496" s="8" t="n"/>
      <c r="AS496" s="8" t="n"/>
      <c r="AT496" s="8" t="n"/>
      <c r="AU496" s="8" t="n"/>
      <c r="AV496" s="8" t="n"/>
      <c r="AW496" s="8" t="n"/>
      <c r="AX496" s="8" t="n"/>
      <c r="AY496" s="8" t="n"/>
      <c r="AZ496" s="8" t="n"/>
    </row>
    <row r="497" customFormat="1" s="12">
      <c r="D497" s="13" t="n"/>
      <c r="E497" s="8" t="n"/>
      <c r="F497" s="8" t="n"/>
      <c r="G497" s="8" t="n"/>
      <c r="H497" s="8" t="n"/>
      <c r="I497" s="8" t="n"/>
      <c r="J497" s="8" t="n"/>
      <c r="K497" s="8" t="n"/>
      <c r="L497" s="8" t="n"/>
      <c r="M497" s="8" t="n"/>
      <c r="N497" s="8" t="n"/>
      <c r="O497" s="8" t="n"/>
      <c r="P497" s="8" t="n"/>
      <c r="Q497" s="8" t="n"/>
      <c r="R497" s="8" t="n"/>
      <c r="S497" s="8" t="n"/>
      <c r="T497" s="8" t="n"/>
      <c r="U497" s="8" t="n"/>
      <c r="V497" s="8" t="n"/>
      <c r="W497" s="8" t="n"/>
      <c r="X497" s="8" t="n"/>
      <c r="Y497" s="8" t="n"/>
      <c r="Z497" s="8" t="n"/>
      <c r="AA497" s="8" t="n"/>
      <c r="AB497" s="8" t="n"/>
      <c r="AC497" s="8" t="n"/>
      <c r="AD497" s="8" t="n"/>
      <c r="AE497" s="8" t="n"/>
      <c r="AF497" s="8" t="n"/>
      <c r="AG497" s="8" t="n"/>
      <c r="AH497" s="8" t="n"/>
      <c r="AI497" s="8" t="n"/>
      <c r="AJ497" s="8" t="n"/>
      <c r="AK497" s="8" t="n"/>
      <c r="AL497" s="8" t="n"/>
      <c r="AM497" s="8" t="n"/>
      <c r="AN497" s="8" t="n"/>
      <c r="AO497" s="8" t="n"/>
      <c r="AP497" s="8" t="n"/>
      <c r="AQ497" s="8" t="n"/>
      <c r="AR497" s="8" t="n"/>
      <c r="AS497" s="8" t="n"/>
      <c r="AT497" s="8" t="n"/>
      <c r="AU497" s="8" t="n"/>
      <c r="AV497" s="8" t="n"/>
      <c r="AW497" s="8" t="n"/>
      <c r="AX497" s="8" t="n"/>
      <c r="AY497" s="8" t="n"/>
      <c r="AZ497" s="8" t="n"/>
    </row>
    <row r="498" customFormat="1" s="12">
      <c r="D498" s="13" t="n"/>
      <c r="E498" s="8" t="n"/>
      <c r="F498" s="8" t="n"/>
      <c r="G498" s="8" t="n"/>
      <c r="H498" s="8" t="n"/>
      <c r="I498" s="8" t="n"/>
      <c r="J498" s="8" t="n"/>
      <c r="K498" s="8" t="n"/>
      <c r="L498" s="8" t="n"/>
      <c r="M498" s="8" t="n"/>
      <c r="N498" s="8" t="n"/>
      <c r="O498" s="8" t="n"/>
      <c r="P498" s="8" t="n"/>
      <c r="Q498" s="8" t="n"/>
      <c r="R498" s="8" t="n"/>
      <c r="S498" s="8" t="n"/>
      <c r="T498" s="8" t="n"/>
      <c r="U498" s="8" t="n"/>
      <c r="V498" s="8" t="n"/>
      <c r="W498" s="8" t="n"/>
      <c r="X498" s="8" t="n"/>
      <c r="Y498" s="8" t="n"/>
      <c r="Z498" s="8" t="n"/>
      <c r="AA498" s="8" t="n"/>
      <c r="AB498" s="8" t="n"/>
      <c r="AC498" s="8" t="n"/>
      <c r="AD498" s="8" t="n"/>
      <c r="AE498" s="8" t="n"/>
      <c r="AF498" s="8" t="n"/>
      <c r="AG498" s="8" t="n"/>
      <c r="AH498" s="8" t="n"/>
      <c r="AI498" s="8" t="n"/>
      <c r="AJ498" s="8" t="n"/>
      <c r="AK498" s="8" t="n"/>
      <c r="AL498" s="8" t="n"/>
      <c r="AM498" s="8" t="n"/>
      <c r="AN498" s="8" t="n"/>
      <c r="AO498" s="8" t="n"/>
      <c r="AP498" s="8" t="n"/>
      <c r="AQ498" s="8" t="n"/>
      <c r="AR498" s="8" t="n"/>
      <c r="AS498" s="8" t="n"/>
      <c r="AT498" s="8" t="n"/>
      <c r="AU498" s="8" t="n"/>
      <c r="AV498" s="8" t="n"/>
      <c r="AW498" s="8" t="n"/>
      <c r="AX498" s="8" t="n"/>
      <c r="AY498" s="8" t="n"/>
      <c r="AZ498" s="8" t="n"/>
    </row>
    <row r="499" customFormat="1" s="12">
      <c r="D499" s="13" t="n"/>
      <c r="E499" s="8" t="n"/>
      <c r="F499" s="8" t="n"/>
      <c r="G499" s="8" t="n"/>
      <c r="H499" s="8" t="n"/>
      <c r="I499" s="8" t="n"/>
      <c r="J499" s="8" t="n"/>
      <c r="K499" s="8" t="n"/>
      <c r="L499" s="8" t="n"/>
      <c r="M499" s="8" t="n"/>
      <c r="N499" s="8" t="n"/>
      <c r="O499" s="8" t="n"/>
      <c r="P499" s="8" t="n"/>
      <c r="Q499" s="8" t="n"/>
      <c r="R499" s="8" t="n"/>
      <c r="S499" s="8" t="n"/>
      <c r="T499" s="8" t="n"/>
      <c r="U499" s="8" t="n"/>
      <c r="V499" s="8" t="n"/>
      <c r="W499" s="8" t="n"/>
      <c r="X499" s="8" t="n"/>
      <c r="Y499" s="8" t="n"/>
      <c r="Z499" s="8" t="n"/>
      <c r="AA499" s="8" t="n"/>
      <c r="AB499" s="8" t="n"/>
      <c r="AC499" s="8" t="n"/>
      <c r="AD499" s="8" t="n"/>
      <c r="AE499" s="8" t="n"/>
      <c r="AF499" s="8" t="n"/>
      <c r="AG499" s="8" t="n"/>
      <c r="AH499" s="8" t="n"/>
      <c r="AI499" s="8" t="n"/>
      <c r="AJ499" s="8" t="n"/>
      <c r="AK499" s="8" t="n"/>
      <c r="AL499" s="8" t="n"/>
      <c r="AM499" s="8" t="n"/>
      <c r="AN499" s="8" t="n"/>
      <c r="AO499" s="8" t="n"/>
      <c r="AP499" s="8" t="n"/>
      <c r="AQ499" s="8" t="n"/>
      <c r="AR499" s="8" t="n"/>
      <c r="AS499" s="8" t="n"/>
      <c r="AT499" s="8" t="n"/>
      <c r="AU499" s="8" t="n"/>
      <c r="AV499" s="8" t="n"/>
      <c r="AW499" s="8" t="n"/>
      <c r="AX499" s="8" t="n"/>
      <c r="AY499" s="8" t="n"/>
      <c r="AZ499" s="8" t="n"/>
    </row>
    <row r="500" customFormat="1" s="12">
      <c r="D500" s="13" t="n"/>
      <c r="E500" s="8" t="n"/>
      <c r="F500" s="8" t="n"/>
      <c r="G500" s="8" t="n"/>
      <c r="H500" s="8" t="n"/>
      <c r="I500" s="8" t="n"/>
      <c r="J500" s="8" t="n"/>
      <c r="K500" s="8" t="n"/>
      <c r="L500" s="8" t="n"/>
      <c r="M500" s="8" t="n"/>
      <c r="N500" s="8" t="n"/>
      <c r="O500" s="8" t="n"/>
      <c r="P500" s="8" t="n"/>
      <c r="Q500" s="8" t="n"/>
      <c r="R500" s="8" t="n"/>
      <c r="S500" s="8" t="n"/>
      <c r="T500" s="8" t="n"/>
      <c r="U500" s="8" t="n"/>
      <c r="V500" s="8" t="n"/>
      <c r="W500" s="8" t="n"/>
      <c r="X500" s="8" t="n"/>
      <c r="Y500" s="8" t="n"/>
      <c r="Z500" s="8" t="n"/>
      <c r="AA500" s="8" t="n"/>
      <c r="AB500" s="8" t="n"/>
      <c r="AC500" s="8" t="n"/>
      <c r="AD500" s="8" t="n"/>
      <c r="AE500" s="8" t="n"/>
      <c r="AF500" s="8" t="n"/>
      <c r="AG500" s="8" t="n"/>
      <c r="AH500" s="8" t="n"/>
      <c r="AI500" s="8" t="n"/>
      <c r="AJ500" s="8" t="n"/>
      <c r="AK500" s="8" t="n"/>
      <c r="AL500" s="8" t="n"/>
      <c r="AM500" s="8" t="n"/>
      <c r="AN500" s="8" t="n"/>
      <c r="AO500" s="8" t="n"/>
      <c r="AP500" s="8" t="n"/>
      <c r="AQ500" s="8" t="n"/>
      <c r="AR500" s="8" t="n"/>
      <c r="AS500" s="8" t="n"/>
      <c r="AT500" s="8" t="n"/>
      <c r="AU500" s="8" t="n"/>
      <c r="AV500" s="8" t="n"/>
      <c r="AW500" s="8" t="n"/>
      <c r="AX500" s="8" t="n"/>
      <c r="AY500" s="8" t="n"/>
      <c r="AZ500" s="8" t="n"/>
    </row>
    <row r="501" customFormat="1" s="12">
      <c r="D501" s="13" t="n"/>
      <c r="E501" s="8" t="n"/>
      <c r="F501" s="8" t="n"/>
      <c r="G501" s="8" t="n"/>
      <c r="H501" s="8" t="n"/>
      <c r="I501" s="8" t="n"/>
      <c r="J501" s="8" t="n"/>
      <c r="K501" s="8" t="n"/>
      <c r="L501" s="8" t="n"/>
      <c r="M501" s="8" t="n"/>
      <c r="N501" s="8" t="n"/>
      <c r="O501" s="8" t="n"/>
      <c r="P501" s="8" t="n"/>
      <c r="Q501" s="8" t="n"/>
      <c r="R501" s="8" t="n"/>
      <c r="S501" s="8" t="n"/>
      <c r="T501" s="8" t="n"/>
      <c r="U501" s="8" t="n"/>
      <c r="V501" s="8" t="n"/>
      <c r="W501" s="8" t="n"/>
      <c r="X501" s="8" t="n"/>
      <c r="Y501" s="8" t="n"/>
      <c r="Z501" s="8" t="n"/>
      <c r="AA501" s="8" t="n"/>
      <c r="AB501" s="8" t="n"/>
      <c r="AC501" s="8" t="n"/>
      <c r="AD501" s="8" t="n"/>
      <c r="AE501" s="8" t="n"/>
      <c r="AF501" s="8" t="n"/>
      <c r="AG501" s="8" t="n"/>
      <c r="AH501" s="8" t="n"/>
      <c r="AI501" s="8" t="n"/>
      <c r="AJ501" s="8" t="n"/>
      <c r="AK501" s="8" t="n"/>
      <c r="AL501" s="8" t="n"/>
      <c r="AM501" s="8" t="n"/>
      <c r="AN501" s="8" t="n"/>
      <c r="AO501" s="8" t="n"/>
      <c r="AP501" s="8" t="n"/>
      <c r="AQ501" s="8" t="n"/>
      <c r="AR501" s="8" t="n"/>
      <c r="AS501" s="8" t="n"/>
      <c r="AT501" s="8" t="n"/>
      <c r="AU501" s="8" t="n"/>
      <c r="AV501" s="8" t="n"/>
      <c r="AW501" s="8" t="n"/>
      <c r="AX501" s="8" t="n"/>
      <c r="AY501" s="8" t="n"/>
      <c r="AZ501" s="8" t="n"/>
    </row>
    <row r="502" customFormat="1" s="12">
      <c r="D502" s="13" t="n"/>
      <c r="E502" s="8" t="n"/>
      <c r="F502" s="8" t="n"/>
      <c r="G502" s="8" t="n"/>
      <c r="H502" s="8" t="n"/>
      <c r="I502" s="8" t="n"/>
      <c r="J502" s="8" t="n"/>
      <c r="K502" s="8" t="n"/>
      <c r="L502" s="8" t="n"/>
      <c r="M502" s="8" t="n"/>
      <c r="N502" s="8" t="n"/>
      <c r="O502" s="8" t="n"/>
      <c r="P502" s="8" t="n"/>
      <c r="Q502" s="8" t="n"/>
      <c r="R502" s="8" t="n"/>
      <c r="S502" s="8" t="n"/>
      <c r="T502" s="8" t="n"/>
      <c r="U502" s="8" t="n"/>
      <c r="V502" s="8" t="n"/>
      <c r="W502" s="8" t="n"/>
      <c r="X502" s="8" t="n"/>
      <c r="Y502" s="8" t="n"/>
      <c r="Z502" s="8" t="n"/>
      <c r="AA502" s="8" t="n"/>
      <c r="AB502" s="8" t="n"/>
      <c r="AC502" s="8" t="n"/>
      <c r="AD502" s="8" t="n"/>
      <c r="AE502" s="8" t="n"/>
      <c r="AF502" s="8" t="n"/>
      <c r="AG502" s="8" t="n"/>
      <c r="AH502" s="8" t="n"/>
      <c r="AI502" s="8" t="n"/>
      <c r="AJ502" s="8" t="n"/>
      <c r="AK502" s="8" t="n"/>
      <c r="AL502" s="8" t="n"/>
      <c r="AM502" s="8" t="n"/>
      <c r="AN502" s="8" t="n"/>
      <c r="AO502" s="8" t="n"/>
      <c r="AP502" s="8" t="n"/>
      <c r="AQ502" s="8" t="n"/>
      <c r="AR502" s="8" t="n"/>
      <c r="AS502" s="8" t="n"/>
      <c r="AT502" s="8" t="n"/>
      <c r="AU502" s="8" t="n"/>
      <c r="AV502" s="8" t="n"/>
      <c r="AW502" s="8" t="n"/>
      <c r="AX502" s="8" t="n"/>
      <c r="AY502" s="8" t="n"/>
      <c r="AZ502" s="8" t="n"/>
    </row>
    <row r="503" customFormat="1" s="12">
      <c r="D503" s="13" t="n"/>
      <c r="E503" s="8" t="n"/>
      <c r="F503" s="8" t="n"/>
      <c r="G503" s="8" t="n"/>
      <c r="H503" s="8" t="n"/>
      <c r="I503" s="8" t="n"/>
      <c r="J503" s="8" t="n"/>
      <c r="K503" s="8" t="n"/>
      <c r="L503" s="8" t="n"/>
      <c r="M503" s="8" t="n"/>
      <c r="N503" s="8" t="n"/>
      <c r="O503" s="8" t="n"/>
      <c r="P503" s="8" t="n"/>
      <c r="Q503" s="8" t="n"/>
      <c r="R503" s="8" t="n"/>
      <c r="S503" s="8" t="n"/>
      <c r="T503" s="8" t="n"/>
      <c r="U503" s="8" t="n"/>
      <c r="V503" s="8" t="n"/>
      <c r="W503" s="8" t="n"/>
      <c r="X503" s="8" t="n"/>
      <c r="Y503" s="8" t="n"/>
      <c r="Z503" s="8" t="n"/>
      <c r="AA503" s="8" t="n"/>
      <c r="AB503" s="8" t="n"/>
      <c r="AC503" s="8" t="n"/>
      <c r="AD503" s="8" t="n"/>
      <c r="AE503" s="8" t="n"/>
      <c r="AF503" s="8" t="n"/>
      <c r="AG503" s="8" t="n"/>
      <c r="AH503" s="8" t="n"/>
      <c r="AI503" s="8" t="n"/>
      <c r="AJ503" s="8" t="n"/>
      <c r="AK503" s="8" t="n"/>
      <c r="AL503" s="8" t="n"/>
      <c r="AM503" s="8" t="n"/>
      <c r="AN503" s="8" t="n"/>
      <c r="AO503" s="8" t="n"/>
      <c r="AP503" s="8" t="n"/>
      <c r="AQ503" s="8" t="n"/>
      <c r="AR503" s="8" t="n"/>
      <c r="AS503" s="8" t="n"/>
      <c r="AT503" s="8" t="n"/>
      <c r="AU503" s="8" t="n"/>
      <c r="AV503" s="8" t="n"/>
      <c r="AW503" s="8" t="n"/>
      <c r="AX503" s="8" t="n"/>
      <c r="AY503" s="8" t="n"/>
      <c r="AZ503" s="8" t="n"/>
    </row>
    <row r="504" customFormat="1" s="12">
      <c r="D504" s="13" t="n"/>
      <c r="E504" s="8" t="n"/>
      <c r="F504" s="8" t="n"/>
      <c r="G504" s="8" t="n"/>
      <c r="H504" s="8" t="n"/>
      <c r="I504" s="8" t="n"/>
      <c r="J504" s="8" t="n"/>
      <c r="K504" s="8" t="n"/>
      <c r="L504" s="8" t="n"/>
      <c r="M504" s="8" t="n"/>
      <c r="N504" s="8" t="n"/>
      <c r="O504" s="8" t="n"/>
      <c r="P504" s="8" t="n"/>
      <c r="Q504" s="8" t="n"/>
      <c r="R504" s="8" t="n"/>
      <c r="S504" s="8" t="n"/>
      <c r="T504" s="8" t="n"/>
      <c r="U504" s="8" t="n"/>
      <c r="V504" s="8" t="n"/>
      <c r="W504" s="8" t="n"/>
      <c r="X504" s="8" t="n"/>
      <c r="Y504" s="8" t="n"/>
      <c r="Z504" s="8" t="n"/>
      <c r="AA504" s="8" t="n"/>
      <c r="AB504" s="8" t="n"/>
      <c r="AC504" s="8" t="n"/>
      <c r="AD504" s="8" t="n"/>
      <c r="AE504" s="8" t="n"/>
      <c r="AF504" s="8" t="n"/>
      <c r="AG504" s="8" t="n"/>
      <c r="AH504" s="8" t="n"/>
      <c r="AI504" s="8" t="n"/>
      <c r="AJ504" s="8" t="n"/>
      <c r="AK504" s="8" t="n"/>
      <c r="AL504" s="8" t="n"/>
      <c r="AM504" s="8" t="n"/>
      <c r="AN504" s="8" t="n"/>
      <c r="AO504" s="8" t="n"/>
      <c r="AP504" s="8" t="n"/>
      <c r="AQ504" s="8" t="n"/>
      <c r="AR504" s="8" t="n"/>
      <c r="AS504" s="8" t="n"/>
      <c r="AT504" s="8" t="n"/>
      <c r="AU504" s="8" t="n"/>
      <c r="AV504" s="8" t="n"/>
      <c r="AW504" s="8" t="n"/>
      <c r="AX504" s="8" t="n"/>
      <c r="AY504" s="8" t="n"/>
      <c r="AZ504" s="8" t="n"/>
    </row>
    <row r="505" customFormat="1" s="12">
      <c r="D505" s="13" t="n"/>
      <c r="E505" s="8" t="n"/>
      <c r="F505" s="8" t="n"/>
      <c r="G505" s="8" t="n"/>
      <c r="H505" s="8" t="n"/>
      <c r="I505" s="8" t="n"/>
      <c r="J505" s="8" t="n"/>
      <c r="K505" s="8" t="n"/>
      <c r="L505" s="8" t="n"/>
      <c r="M505" s="8" t="n"/>
      <c r="N505" s="8" t="n"/>
      <c r="O505" s="8" t="n"/>
      <c r="P505" s="8" t="n"/>
      <c r="Q505" s="8" t="n"/>
      <c r="R505" s="8" t="n"/>
      <c r="S505" s="8" t="n"/>
      <c r="T505" s="8" t="n"/>
      <c r="U505" s="8" t="n"/>
      <c r="V505" s="8" t="n"/>
      <c r="W505" s="8" t="n"/>
      <c r="X505" s="8" t="n"/>
      <c r="Y505" s="8" t="n"/>
      <c r="Z505" s="8" t="n"/>
      <c r="AA505" s="8" t="n"/>
      <c r="AB505" s="8" t="n"/>
      <c r="AC505" s="8" t="n"/>
      <c r="AD505" s="8" t="n"/>
      <c r="AE505" s="8" t="n"/>
      <c r="AF505" s="8" t="n"/>
      <c r="AG505" s="8" t="n"/>
      <c r="AH505" s="8" t="n"/>
      <c r="AI505" s="8" t="n"/>
      <c r="AJ505" s="8" t="n"/>
      <c r="AK505" s="8" t="n"/>
      <c r="AL505" s="8" t="n"/>
      <c r="AM505" s="8" t="n"/>
      <c r="AN505" s="8" t="n"/>
      <c r="AO505" s="8" t="n"/>
      <c r="AP505" s="8" t="n"/>
      <c r="AQ505" s="8" t="n"/>
      <c r="AR505" s="8" t="n"/>
      <c r="AS505" s="8" t="n"/>
      <c r="AT505" s="8" t="n"/>
      <c r="AU505" s="8" t="n"/>
      <c r="AV505" s="8" t="n"/>
      <c r="AW505" s="8" t="n"/>
      <c r="AX505" s="8" t="n"/>
      <c r="AY505" s="8" t="n"/>
      <c r="AZ505" s="8" t="n"/>
    </row>
    <row r="506" customFormat="1" s="12">
      <c r="D506" s="13" t="n"/>
      <c r="E506" s="8" t="n"/>
      <c r="F506" s="8" t="n"/>
      <c r="G506" s="8" t="n"/>
      <c r="H506" s="8" t="n"/>
      <c r="I506" s="8" t="n"/>
      <c r="J506" s="8" t="n"/>
      <c r="K506" s="8" t="n"/>
      <c r="L506" s="8" t="n"/>
      <c r="M506" s="8" t="n"/>
      <c r="N506" s="8" t="n"/>
      <c r="O506" s="8" t="n"/>
      <c r="P506" s="8" t="n"/>
      <c r="Q506" s="8" t="n"/>
      <c r="R506" s="8" t="n"/>
      <c r="S506" s="8" t="n"/>
      <c r="T506" s="8" t="n"/>
      <c r="U506" s="8" t="n"/>
      <c r="V506" s="8" t="n"/>
      <c r="W506" s="8" t="n"/>
      <c r="X506" s="8" t="n"/>
      <c r="Y506" s="8" t="n"/>
      <c r="Z506" s="8" t="n"/>
      <c r="AA506" s="8" t="n"/>
      <c r="AB506" s="8" t="n"/>
      <c r="AC506" s="8" t="n"/>
      <c r="AD506" s="8" t="n"/>
      <c r="AE506" s="8" t="n"/>
      <c r="AF506" s="8" t="n"/>
      <c r="AG506" s="8" t="n"/>
      <c r="AH506" s="8" t="n"/>
      <c r="AI506" s="8" t="n"/>
      <c r="AJ506" s="8" t="n"/>
      <c r="AK506" s="8" t="n"/>
      <c r="AL506" s="8" t="n"/>
      <c r="AM506" s="8" t="n"/>
      <c r="AN506" s="8" t="n"/>
      <c r="AO506" s="8" t="n"/>
      <c r="AP506" s="8" t="n"/>
      <c r="AQ506" s="8" t="n"/>
      <c r="AR506" s="8" t="n"/>
      <c r="AS506" s="8" t="n"/>
      <c r="AT506" s="8" t="n"/>
      <c r="AU506" s="8" t="n"/>
      <c r="AV506" s="8" t="n"/>
      <c r="AW506" s="8" t="n"/>
      <c r="AX506" s="8" t="n"/>
      <c r="AY506" s="8" t="n"/>
      <c r="AZ506" s="8" t="n"/>
    </row>
    <row r="507" customFormat="1" s="12">
      <c r="D507" s="13" t="n"/>
      <c r="E507" s="8" t="n"/>
      <c r="F507" s="8" t="n"/>
      <c r="G507" s="8" t="n"/>
      <c r="H507" s="8" t="n"/>
      <c r="I507" s="8" t="n"/>
      <c r="J507" s="8" t="n"/>
      <c r="K507" s="8" t="n"/>
      <c r="L507" s="8" t="n"/>
      <c r="M507" s="8" t="n"/>
      <c r="N507" s="8" t="n"/>
      <c r="O507" s="8" t="n"/>
      <c r="P507" s="8" t="n"/>
      <c r="Q507" s="8" t="n"/>
      <c r="R507" s="8" t="n"/>
      <c r="S507" s="8" t="n"/>
      <c r="T507" s="8" t="n"/>
      <c r="U507" s="8" t="n"/>
      <c r="V507" s="8" t="n"/>
      <c r="W507" s="8" t="n"/>
      <c r="X507" s="8" t="n"/>
      <c r="Y507" s="8" t="n"/>
      <c r="Z507" s="8" t="n"/>
      <c r="AA507" s="8" t="n"/>
      <c r="AB507" s="8" t="n"/>
      <c r="AC507" s="8" t="n"/>
      <c r="AD507" s="8" t="n"/>
      <c r="AE507" s="8" t="n"/>
      <c r="AF507" s="8" t="n"/>
      <c r="AG507" s="8" t="n"/>
      <c r="AH507" s="8" t="n"/>
      <c r="AI507" s="8" t="n"/>
      <c r="AJ507" s="8" t="n"/>
      <c r="AK507" s="8" t="n"/>
      <c r="AL507" s="8" t="n"/>
      <c r="AM507" s="8" t="n"/>
      <c r="AN507" s="8" t="n"/>
      <c r="AO507" s="8" t="n"/>
      <c r="AP507" s="8" t="n"/>
      <c r="AQ507" s="8" t="n"/>
      <c r="AR507" s="8" t="n"/>
      <c r="AS507" s="8" t="n"/>
      <c r="AT507" s="8" t="n"/>
      <c r="AU507" s="8" t="n"/>
      <c r="AV507" s="8" t="n"/>
      <c r="AW507" s="8" t="n"/>
      <c r="AX507" s="8" t="n"/>
      <c r="AY507" s="8" t="n"/>
      <c r="AZ507" s="8" t="n"/>
    </row>
    <row r="508" customFormat="1" s="12">
      <c r="D508" s="13" t="n"/>
      <c r="E508" s="8" t="n"/>
      <c r="F508" s="8" t="n"/>
      <c r="G508" s="8" t="n"/>
      <c r="H508" s="8" t="n"/>
      <c r="I508" s="8" t="n"/>
      <c r="J508" s="8" t="n"/>
      <c r="K508" s="8" t="n"/>
      <c r="L508" s="8" t="n"/>
      <c r="M508" s="8" t="n"/>
      <c r="N508" s="8" t="n"/>
      <c r="O508" s="8" t="n"/>
      <c r="P508" s="8" t="n"/>
      <c r="Q508" s="8" t="n"/>
      <c r="R508" s="8" t="n"/>
      <c r="S508" s="8" t="n"/>
      <c r="T508" s="8" t="n"/>
      <c r="U508" s="8" t="n"/>
      <c r="V508" s="8" t="n"/>
      <c r="W508" s="8" t="n"/>
      <c r="X508" s="8" t="n"/>
      <c r="Y508" s="8" t="n"/>
      <c r="Z508" s="8" t="n"/>
      <c r="AA508" s="8" t="n"/>
      <c r="AB508" s="8" t="n"/>
      <c r="AC508" s="8" t="n"/>
      <c r="AD508" s="8" t="n"/>
      <c r="AE508" s="8" t="n"/>
      <c r="AF508" s="8" t="n"/>
      <c r="AG508" s="8" t="n"/>
      <c r="AH508" s="8" t="n"/>
      <c r="AI508" s="8" t="n"/>
      <c r="AJ508" s="8" t="n"/>
      <c r="AK508" s="8" t="n"/>
      <c r="AL508" s="8" t="n"/>
      <c r="AM508" s="8" t="n"/>
      <c r="AN508" s="8" t="n"/>
      <c r="AO508" s="8" t="n"/>
      <c r="AP508" s="8" t="n"/>
      <c r="AQ508" s="8" t="n"/>
      <c r="AR508" s="8" t="n"/>
      <c r="AS508" s="8" t="n"/>
      <c r="AT508" s="8" t="n"/>
      <c r="AU508" s="8" t="n"/>
      <c r="AV508" s="8" t="n"/>
      <c r="AW508" s="8" t="n"/>
      <c r="AX508" s="8" t="n"/>
      <c r="AY508" s="8" t="n"/>
      <c r="AZ508" s="8" t="n"/>
    </row>
    <row r="509" customFormat="1" s="12">
      <c r="D509" s="13" t="n"/>
      <c r="E509" s="8" t="n"/>
      <c r="F509" s="8" t="n"/>
      <c r="G509" s="8" t="n"/>
      <c r="H509" s="8" t="n"/>
      <c r="I509" s="8" t="n"/>
      <c r="J509" s="8" t="n"/>
      <c r="K509" s="8" t="n"/>
      <c r="L509" s="8" t="n"/>
      <c r="M509" s="8" t="n"/>
      <c r="N509" s="8" t="n"/>
      <c r="O509" s="8" t="n"/>
      <c r="P509" s="8" t="n"/>
      <c r="Q509" s="8" t="n"/>
      <c r="R509" s="8" t="n"/>
      <c r="S509" s="8" t="n"/>
      <c r="T509" s="8" t="n"/>
      <c r="U509" s="8" t="n"/>
      <c r="V509" s="8" t="n"/>
      <c r="W509" s="8" t="n"/>
      <c r="X509" s="8" t="n"/>
      <c r="Y509" s="8" t="n"/>
      <c r="Z509" s="8" t="n"/>
      <c r="AA509" s="8" t="n"/>
      <c r="AB509" s="8" t="n"/>
      <c r="AC509" s="8" t="n"/>
      <c r="AD509" s="8" t="n"/>
      <c r="AE509" s="8" t="n"/>
      <c r="AF509" s="8" t="n"/>
      <c r="AG509" s="8" t="n"/>
      <c r="AH509" s="8" t="n"/>
      <c r="AI509" s="8" t="n"/>
      <c r="AJ509" s="8" t="n"/>
      <c r="AK509" s="8" t="n"/>
      <c r="AL509" s="8" t="n"/>
      <c r="AM509" s="8" t="n"/>
      <c r="AN509" s="8" t="n"/>
      <c r="AO509" s="8" t="n"/>
      <c r="AP509" s="8" t="n"/>
      <c r="AQ509" s="8" t="n"/>
      <c r="AR509" s="8" t="n"/>
      <c r="AS509" s="8" t="n"/>
      <c r="AT509" s="8" t="n"/>
      <c r="AU509" s="8" t="n"/>
      <c r="AV509" s="8" t="n"/>
      <c r="AW509" s="8" t="n"/>
      <c r="AX509" s="8" t="n"/>
      <c r="AY509" s="8" t="n"/>
      <c r="AZ509" s="8" t="n"/>
    </row>
    <row r="510" customFormat="1" s="12">
      <c r="D510" s="13" t="n"/>
      <c r="E510" s="8" t="n"/>
      <c r="F510" s="8" t="n"/>
      <c r="G510" s="8" t="n"/>
      <c r="H510" s="8" t="n"/>
      <c r="I510" s="8" t="n"/>
      <c r="J510" s="8" t="n"/>
      <c r="K510" s="8" t="n"/>
      <c r="L510" s="8" t="n"/>
      <c r="M510" s="8" t="n"/>
      <c r="N510" s="8" t="n"/>
      <c r="O510" s="8" t="n"/>
      <c r="P510" s="8" t="n"/>
      <c r="Q510" s="8" t="n"/>
      <c r="R510" s="8" t="n"/>
      <c r="S510" s="8" t="n"/>
      <c r="T510" s="8" t="n"/>
      <c r="U510" s="8" t="n"/>
      <c r="V510" s="8" t="n"/>
      <c r="W510" s="8" t="n"/>
      <c r="X510" s="8" t="n"/>
      <c r="Y510" s="8" t="n"/>
      <c r="Z510" s="8" t="n"/>
      <c r="AA510" s="8" t="n"/>
      <c r="AB510" s="8" t="n"/>
      <c r="AC510" s="8" t="n"/>
      <c r="AD510" s="8" t="n"/>
      <c r="AE510" s="8" t="n"/>
      <c r="AF510" s="8" t="n"/>
      <c r="AG510" s="8" t="n"/>
      <c r="AH510" s="8" t="n"/>
      <c r="AI510" s="8" t="n"/>
      <c r="AJ510" s="8" t="n"/>
      <c r="AK510" s="8" t="n"/>
      <c r="AL510" s="8" t="n"/>
      <c r="AM510" s="8" t="n"/>
      <c r="AN510" s="8" t="n"/>
      <c r="AO510" s="8" t="n"/>
      <c r="AP510" s="8" t="n"/>
      <c r="AQ510" s="8" t="n"/>
      <c r="AR510" s="8" t="n"/>
      <c r="AS510" s="8" t="n"/>
      <c r="AT510" s="8" t="n"/>
      <c r="AU510" s="8" t="n"/>
      <c r="AV510" s="8" t="n"/>
      <c r="AW510" s="8" t="n"/>
      <c r="AX510" s="8" t="n"/>
      <c r="AY510" s="8" t="n"/>
      <c r="AZ510" s="8" t="n"/>
    </row>
    <row r="511" customFormat="1" s="12">
      <c r="D511" s="13" t="n"/>
      <c r="E511" s="8" t="n"/>
      <c r="F511" s="8" t="n"/>
      <c r="G511" s="8" t="n"/>
      <c r="H511" s="8" t="n"/>
      <c r="I511" s="8" t="n"/>
      <c r="J511" s="8" t="n"/>
      <c r="K511" s="8" t="n"/>
      <c r="L511" s="8" t="n"/>
      <c r="M511" s="8" t="n"/>
      <c r="N511" s="8" t="n"/>
      <c r="O511" s="8" t="n"/>
      <c r="P511" s="8" t="n"/>
      <c r="Q511" s="8" t="n"/>
      <c r="R511" s="8" t="n"/>
      <c r="S511" s="8" t="n"/>
      <c r="T511" s="8" t="n"/>
      <c r="U511" s="8" t="n"/>
      <c r="V511" s="8" t="n"/>
      <c r="W511" s="8" t="n"/>
      <c r="X511" s="8" t="n"/>
      <c r="Y511" s="8" t="n"/>
      <c r="Z511" s="8" t="n"/>
      <c r="AA511" s="8" t="n"/>
      <c r="AB511" s="8" t="n"/>
      <c r="AC511" s="8" t="n"/>
      <c r="AD511" s="8" t="n"/>
      <c r="AE511" s="8" t="n"/>
      <c r="AF511" s="8" t="n"/>
      <c r="AG511" s="8" t="n"/>
      <c r="AH511" s="8" t="n"/>
      <c r="AI511" s="8" t="n"/>
      <c r="AJ511" s="8" t="n"/>
      <c r="AK511" s="8" t="n"/>
      <c r="AL511" s="8" t="n"/>
      <c r="AM511" s="8" t="n"/>
      <c r="AN511" s="8" t="n"/>
      <c r="AO511" s="8" t="n"/>
      <c r="AP511" s="8" t="n"/>
      <c r="AQ511" s="8" t="n"/>
      <c r="AR511" s="8" t="n"/>
      <c r="AS511" s="8" t="n"/>
      <c r="AT511" s="8" t="n"/>
      <c r="AU511" s="8" t="n"/>
      <c r="AV511" s="8" t="n"/>
      <c r="AW511" s="8" t="n"/>
      <c r="AX511" s="8" t="n"/>
      <c r="AY511" s="8" t="n"/>
      <c r="AZ511" s="8" t="n"/>
    </row>
    <row r="512" customFormat="1" s="12">
      <c r="D512" s="13" t="n"/>
      <c r="E512" s="8" t="n"/>
      <c r="F512" s="8" t="n"/>
      <c r="G512" s="8" t="n"/>
      <c r="H512" s="8" t="n"/>
      <c r="I512" s="8" t="n"/>
      <c r="J512" s="8" t="n"/>
      <c r="K512" s="8" t="n"/>
      <c r="L512" s="8" t="n"/>
      <c r="M512" s="8" t="n"/>
      <c r="N512" s="8" t="n"/>
      <c r="O512" s="8" t="n"/>
      <c r="P512" s="8" t="n"/>
      <c r="Q512" s="8" t="n"/>
      <c r="R512" s="8" t="n"/>
      <c r="S512" s="8" t="n"/>
      <c r="T512" s="8" t="n"/>
      <c r="U512" s="8" t="n"/>
      <c r="V512" s="8" t="n"/>
      <c r="W512" s="8" t="n"/>
      <c r="X512" s="8" t="n"/>
      <c r="Y512" s="8" t="n"/>
      <c r="Z512" s="8" t="n"/>
      <c r="AA512" s="8" t="n"/>
      <c r="AB512" s="8" t="n"/>
      <c r="AC512" s="8" t="n"/>
      <c r="AD512" s="8" t="n"/>
      <c r="AE512" s="8" t="n"/>
      <c r="AF512" s="8" t="n"/>
      <c r="AG512" s="8" t="n"/>
      <c r="AH512" s="8" t="n"/>
      <c r="AI512" s="8" t="n"/>
      <c r="AJ512" s="8" t="n"/>
      <c r="AK512" s="8" t="n"/>
      <c r="AL512" s="8" t="n"/>
      <c r="AM512" s="8" t="n"/>
      <c r="AN512" s="8" t="n"/>
      <c r="AO512" s="8" t="n"/>
      <c r="AP512" s="8" t="n"/>
      <c r="AQ512" s="8" t="n"/>
      <c r="AR512" s="8" t="n"/>
      <c r="AS512" s="8" t="n"/>
      <c r="AT512" s="8" t="n"/>
      <c r="AU512" s="8" t="n"/>
      <c r="AV512" s="8" t="n"/>
      <c r="AW512" s="8" t="n"/>
      <c r="AX512" s="8" t="n"/>
      <c r="AY512" s="8" t="n"/>
      <c r="AZ512" s="8" t="n"/>
    </row>
    <row r="513" customFormat="1" s="12">
      <c r="D513" s="13" t="n"/>
      <c r="E513" s="8" t="n"/>
      <c r="F513" s="8" t="n"/>
      <c r="G513" s="8" t="n"/>
      <c r="H513" s="8" t="n"/>
      <c r="I513" s="8" t="n"/>
      <c r="J513" s="8" t="n"/>
      <c r="K513" s="8" t="n"/>
      <c r="L513" s="8" t="n"/>
      <c r="M513" s="8" t="n"/>
      <c r="N513" s="8" t="n"/>
      <c r="O513" s="8" t="n"/>
      <c r="P513" s="8" t="n"/>
      <c r="Q513" s="8" t="n"/>
      <c r="R513" s="8" t="n"/>
      <c r="S513" s="8" t="n"/>
      <c r="T513" s="8" t="n"/>
      <c r="U513" s="8" t="n"/>
      <c r="V513" s="8" t="n"/>
      <c r="W513" s="8" t="n"/>
      <c r="X513" s="8" t="n"/>
      <c r="Y513" s="8" t="n"/>
      <c r="Z513" s="8" t="n"/>
      <c r="AA513" s="8" t="n"/>
      <c r="AB513" s="8" t="n"/>
      <c r="AC513" s="8" t="n"/>
      <c r="AD513" s="8" t="n"/>
      <c r="AE513" s="8" t="n"/>
      <c r="AF513" s="8" t="n"/>
      <c r="AG513" s="8" t="n"/>
      <c r="AH513" s="8" t="n"/>
      <c r="AI513" s="8" t="n"/>
      <c r="AJ513" s="8" t="n"/>
      <c r="AK513" s="8" t="n"/>
      <c r="AL513" s="8" t="n"/>
      <c r="AM513" s="8" t="n"/>
      <c r="AN513" s="8" t="n"/>
      <c r="AO513" s="8" t="n"/>
      <c r="AP513" s="8" t="n"/>
      <c r="AQ513" s="8" t="n"/>
      <c r="AR513" s="8" t="n"/>
      <c r="AS513" s="8" t="n"/>
      <c r="AT513" s="8" t="n"/>
      <c r="AU513" s="8" t="n"/>
      <c r="AV513" s="8" t="n"/>
      <c r="AW513" s="8" t="n"/>
      <c r="AX513" s="8" t="n"/>
      <c r="AY513" s="8" t="n"/>
      <c r="AZ513" s="8" t="n"/>
    </row>
    <row r="514" customFormat="1" s="12">
      <c r="D514" s="13" t="n"/>
      <c r="E514" s="8" t="n"/>
      <c r="F514" s="8" t="n"/>
      <c r="G514" s="8" t="n"/>
      <c r="H514" s="8" t="n"/>
      <c r="I514" s="8" t="n"/>
      <c r="J514" s="8" t="n"/>
      <c r="K514" s="8" t="n"/>
      <c r="L514" s="8" t="n"/>
      <c r="M514" s="8" t="n"/>
      <c r="N514" s="8" t="n"/>
      <c r="O514" s="8" t="n"/>
      <c r="P514" s="8" t="n"/>
      <c r="Q514" s="8" t="n"/>
      <c r="R514" s="8" t="n"/>
      <c r="S514" s="8" t="n"/>
      <c r="T514" s="8" t="n"/>
      <c r="U514" s="8" t="n"/>
      <c r="V514" s="8" t="n"/>
      <c r="W514" s="8" t="n"/>
      <c r="X514" s="8" t="n"/>
      <c r="Y514" s="8" t="n"/>
      <c r="Z514" s="8" t="n"/>
      <c r="AA514" s="8" t="n"/>
      <c r="AB514" s="8" t="n"/>
      <c r="AC514" s="8" t="n"/>
      <c r="AD514" s="8" t="n"/>
      <c r="AE514" s="8" t="n"/>
      <c r="AF514" s="8" t="n"/>
      <c r="AG514" s="8" t="n"/>
      <c r="AH514" s="8" t="n"/>
      <c r="AI514" s="8" t="n"/>
      <c r="AJ514" s="8" t="n"/>
      <c r="AK514" s="8" t="n"/>
      <c r="AL514" s="8" t="n"/>
      <c r="AM514" s="8" t="n"/>
      <c r="AN514" s="8" t="n"/>
      <c r="AO514" s="8" t="n"/>
      <c r="AP514" s="8" t="n"/>
      <c r="AQ514" s="8" t="n"/>
      <c r="AR514" s="8" t="n"/>
      <c r="AS514" s="8" t="n"/>
      <c r="AT514" s="8" t="n"/>
      <c r="AU514" s="8" t="n"/>
      <c r="AV514" s="8" t="n"/>
      <c r="AW514" s="8" t="n"/>
      <c r="AX514" s="8" t="n"/>
      <c r="AY514" s="8" t="n"/>
      <c r="AZ514" s="8" t="n"/>
    </row>
    <row r="515" customFormat="1" s="12">
      <c r="D515" s="13" t="n"/>
      <c r="E515" s="8" t="n"/>
      <c r="F515" s="8" t="n"/>
      <c r="G515" s="8" t="n"/>
      <c r="H515" s="8" t="n"/>
      <c r="I515" s="8" t="n"/>
      <c r="J515" s="8" t="n"/>
      <c r="K515" s="8" t="n"/>
      <c r="L515" s="8" t="n"/>
      <c r="M515" s="8" t="n"/>
      <c r="N515" s="8" t="n"/>
      <c r="O515" s="8" t="n"/>
      <c r="P515" s="8" t="n"/>
      <c r="Q515" s="8" t="n"/>
      <c r="R515" s="8" t="n"/>
      <c r="S515" s="8" t="n"/>
      <c r="T515" s="8" t="n"/>
      <c r="U515" s="8" t="n"/>
      <c r="V515" s="8" t="n"/>
      <c r="W515" s="8" t="n"/>
      <c r="X515" s="8" t="n"/>
      <c r="Y515" s="8" t="n"/>
      <c r="Z515" s="8" t="n"/>
      <c r="AA515" s="8" t="n"/>
      <c r="AB515" s="8" t="n"/>
      <c r="AC515" s="8" t="n"/>
      <c r="AD515" s="8" t="n"/>
      <c r="AE515" s="8" t="n"/>
      <c r="AF515" s="8" t="n"/>
      <c r="AG515" s="8" t="n"/>
      <c r="AH515" s="8" t="n"/>
      <c r="AI515" s="8" t="n"/>
      <c r="AJ515" s="8" t="n"/>
      <c r="AK515" s="8" t="n"/>
      <c r="AL515" s="8" t="n"/>
      <c r="AM515" s="8" t="n"/>
      <c r="AN515" s="8" t="n"/>
      <c r="AO515" s="8" t="n"/>
      <c r="AP515" s="8" t="n"/>
      <c r="AQ515" s="8" t="n"/>
      <c r="AR515" s="8" t="n"/>
      <c r="AS515" s="8" t="n"/>
      <c r="AT515" s="8" t="n"/>
      <c r="AU515" s="8" t="n"/>
      <c r="AV515" s="8" t="n"/>
      <c r="AW515" s="8" t="n"/>
      <c r="AX515" s="8" t="n"/>
      <c r="AY515" s="8" t="n"/>
      <c r="AZ515" s="8" t="n"/>
    </row>
    <row r="516" customFormat="1" s="12">
      <c r="D516" s="13" t="n"/>
      <c r="E516" s="8" t="n"/>
      <c r="F516" s="8" t="n"/>
      <c r="G516" s="8" t="n"/>
      <c r="H516" s="8" t="n"/>
      <c r="I516" s="8" t="n"/>
      <c r="J516" s="8" t="n"/>
      <c r="K516" s="8" t="n"/>
      <c r="L516" s="8" t="n"/>
      <c r="M516" s="8" t="n"/>
      <c r="N516" s="8" t="n"/>
      <c r="O516" s="8" t="n"/>
      <c r="P516" s="8" t="n"/>
      <c r="Q516" s="8" t="n"/>
      <c r="R516" s="8" t="n"/>
      <c r="S516" s="8" t="n"/>
      <c r="T516" s="8" t="n"/>
      <c r="U516" s="8" t="n"/>
      <c r="V516" s="8" t="n"/>
      <c r="W516" s="8" t="n"/>
      <c r="X516" s="8" t="n"/>
      <c r="Y516" s="8" t="n"/>
      <c r="Z516" s="8" t="n"/>
      <c r="AA516" s="8" t="n"/>
      <c r="AB516" s="8" t="n"/>
      <c r="AC516" s="8" t="n"/>
      <c r="AD516" s="8" t="n"/>
      <c r="AE516" s="8" t="n"/>
      <c r="AF516" s="8" t="n"/>
      <c r="AG516" s="8" t="n"/>
      <c r="AH516" s="8" t="n"/>
      <c r="AI516" s="8" t="n"/>
      <c r="AJ516" s="8" t="n"/>
      <c r="AK516" s="8" t="n"/>
      <c r="AL516" s="8" t="n"/>
      <c r="AM516" s="8" t="n"/>
      <c r="AN516" s="8" t="n"/>
      <c r="AO516" s="8" t="n"/>
      <c r="AP516" s="8" t="n"/>
      <c r="AQ516" s="8" t="n"/>
      <c r="AR516" s="8" t="n"/>
      <c r="AS516" s="8" t="n"/>
      <c r="AT516" s="8" t="n"/>
      <c r="AU516" s="8" t="n"/>
      <c r="AV516" s="8" t="n"/>
      <c r="AW516" s="8" t="n"/>
      <c r="AX516" s="8" t="n"/>
      <c r="AY516" s="8" t="n"/>
      <c r="AZ516" s="8" t="n"/>
    </row>
    <row r="517" customFormat="1" s="12">
      <c r="D517" s="13" t="n"/>
      <c r="E517" s="8" t="n"/>
      <c r="F517" s="8" t="n"/>
      <c r="G517" s="8" t="n"/>
      <c r="H517" s="8" t="n"/>
      <c r="I517" s="8" t="n"/>
      <c r="J517" s="8" t="n"/>
      <c r="K517" s="8" t="n"/>
      <c r="L517" s="8" t="n"/>
      <c r="M517" s="8" t="n"/>
      <c r="N517" s="8" t="n"/>
      <c r="O517" s="8" t="n"/>
      <c r="P517" s="8" t="n"/>
      <c r="Q517" s="8" t="n"/>
      <c r="R517" s="8" t="n"/>
      <c r="S517" s="8" t="n"/>
      <c r="T517" s="8" t="n"/>
      <c r="U517" s="8" t="n"/>
      <c r="V517" s="8" t="n"/>
      <c r="W517" s="8" t="n"/>
      <c r="X517" s="8" t="n"/>
      <c r="Y517" s="8" t="n"/>
      <c r="Z517" s="8" t="n"/>
      <c r="AA517" s="8" t="n"/>
      <c r="AB517" s="8" t="n"/>
      <c r="AC517" s="8" t="n"/>
      <c r="AD517" s="8" t="n"/>
      <c r="AE517" s="8" t="n"/>
      <c r="AF517" s="8" t="n"/>
      <c r="AG517" s="8" t="n"/>
      <c r="AH517" s="8" t="n"/>
      <c r="AI517" s="8" t="n"/>
      <c r="AJ517" s="8" t="n"/>
      <c r="AK517" s="8" t="n"/>
      <c r="AL517" s="8" t="n"/>
      <c r="AM517" s="8" t="n"/>
      <c r="AN517" s="8" t="n"/>
      <c r="AO517" s="8" t="n"/>
      <c r="AP517" s="8" t="n"/>
      <c r="AQ517" s="8" t="n"/>
      <c r="AR517" s="8" t="n"/>
      <c r="AS517" s="8" t="n"/>
      <c r="AT517" s="8" t="n"/>
      <c r="AU517" s="8" t="n"/>
      <c r="AV517" s="8" t="n"/>
      <c r="AW517" s="8" t="n"/>
      <c r="AX517" s="8" t="n"/>
      <c r="AY517" s="8" t="n"/>
      <c r="AZ517" s="8" t="n"/>
    </row>
    <row r="518" customFormat="1" s="12">
      <c r="D518" s="13" t="n"/>
      <c r="E518" s="8" t="n"/>
      <c r="F518" s="8" t="n"/>
      <c r="G518" s="8" t="n"/>
      <c r="H518" s="8" t="n"/>
      <c r="I518" s="8" t="n"/>
      <c r="J518" s="8" t="n"/>
      <c r="K518" s="8" t="n"/>
      <c r="L518" s="8" t="n"/>
      <c r="M518" s="8" t="n"/>
      <c r="N518" s="8" t="n"/>
      <c r="O518" s="8" t="n"/>
      <c r="P518" s="8" t="n"/>
      <c r="Q518" s="8" t="n"/>
      <c r="R518" s="8" t="n"/>
      <c r="S518" s="8" t="n"/>
      <c r="T518" s="8" t="n"/>
      <c r="U518" s="8" t="n"/>
      <c r="V518" s="8" t="n"/>
      <c r="W518" s="8" t="n"/>
      <c r="X518" s="8" t="n"/>
      <c r="Y518" s="8" t="n"/>
      <c r="Z518" s="8" t="n"/>
      <c r="AA518" s="8" t="n"/>
      <c r="AB518" s="8" t="n"/>
      <c r="AC518" s="8" t="n"/>
      <c r="AD518" s="8" t="n"/>
      <c r="AE518" s="8" t="n"/>
      <c r="AF518" s="8" t="n"/>
      <c r="AG518" s="8" t="n"/>
      <c r="AH518" s="8" t="n"/>
      <c r="AI518" s="8" t="n"/>
      <c r="AJ518" s="8" t="n"/>
      <c r="AK518" s="8" t="n"/>
      <c r="AL518" s="8" t="n"/>
      <c r="AM518" s="8" t="n"/>
      <c r="AN518" s="8" t="n"/>
      <c r="AO518" s="8" t="n"/>
      <c r="AP518" s="8" t="n"/>
      <c r="AQ518" s="8" t="n"/>
      <c r="AR518" s="8" t="n"/>
      <c r="AS518" s="8" t="n"/>
      <c r="AT518" s="8" t="n"/>
      <c r="AU518" s="8" t="n"/>
      <c r="AV518" s="8" t="n"/>
      <c r="AW518" s="8" t="n"/>
      <c r="AX518" s="8" t="n"/>
      <c r="AY518" s="8" t="n"/>
      <c r="AZ518" s="8" t="n"/>
    </row>
    <row r="519" customFormat="1" s="12">
      <c r="D519" s="13" t="n"/>
      <c r="E519" s="8" t="n"/>
      <c r="F519" s="8" t="n"/>
      <c r="G519" s="8" t="n"/>
      <c r="H519" s="8" t="n"/>
      <c r="I519" s="8" t="n"/>
      <c r="J519" s="8" t="n"/>
      <c r="K519" s="8" t="n"/>
      <c r="L519" s="8" t="n"/>
      <c r="M519" s="8" t="n"/>
      <c r="N519" s="8" t="n"/>
      <c r="O519" s="8" t="n"/>
      <c r="P519" s="8" t="n"/>
      <c r="Q519" s="8" t="n"/>
      <c r="R519" s="8" t="n"/>
      <c r="S519" s="8" t="n"/>
      <c r="T519" s="8" t="n"/>
      <c r="U519" s="8" t="n"/>
      <c r="V519" s="8" t="n"/>
      <c r="W519" s="8" t="n"/>
      <c r="X519" s="8" t="n"/>
      <c r="Y519" s="8" t="n"/>
      <c r="Z519" s="8" t="n"/>
      <c r="AA519" s="8" t="n"/>
      <c r="AB519" s="8" t="n"/>
      <c r="AC519" s="8" t="n"/>
      <c r="AD519" s="8" t="n"/>
      <c r="AE519" s="8" t="n"/>
      <c r="AF519" s="8" t="n"/>
      <c r="AG519" s="8" t="n"/>
      <c r="AH519" s="8" t="n"/>
      <c r="AI519" s="8" t="n"/>
      <c r="AJ519" s="8" t="n"/>
      <c r="AK519" s="8" t="n"/>
      <c r="AL519" s="8" t="n"/>
      <c r="AM519" s="8" t="n"/>
      <c r="AN519" s="8" t="n"/>
      <c r="AO519" s="8" t="n"/>
      <c r="AP519" s="8" t="n"/>
      <c r="AQ519" s="8" t="n"/>
      <c r="AR519" s="8" t="n"/>
      <c r="AS519" s="8" t="n"/>
      <c r="AT519" s="8" t="n"/>
      <c r="AU519" s="8" t="n"/>
      <c r="AV519" s="8" t="n"/>
      <c r="AW519" s="8" t="n"/>
      <c r="AX519" s="8" t="n"/>
      <c r="AY519" s="8" t="n"/>
      <c r="AZ519" s="8" t="n"/>
    </row>
    <row r="520" customFormat="1" s="12">
      <c r="D520" s="13" t="n"/>
      <c r="E520" s="8" t="n"/>
      <c r="F520" s="8" t="n"/>
      <c r="G520" s="8" t="n"/>
      <c r="H520" s="8" t="n"/>
      <c r="I520" s="8" t="n"/>
      <c r="J520" s="8" t="n"/>
      <c r="K520" s="8" t="n"/>
      <c r="L520" s="8" t="n"/>
      <c r="M520" s="8" t="n"/>
      <c r="N520" s="8" t="n"/>
      <c r="O520" s="8" t="n"/>
      <c r="P520" s="8" t="n"/>
      <c r="Q520" s="8" t="n"/>
      <c r="R520" s="8" t="n"/>
      <c r="S520" s="8" t="n"/>
      <c r="T520" s="8" t="n"/>
      <c r="U520" s="8" t="n"/>
      <c r="V520" s="8" t="n"/>
      <c r="W520" s="8" t="n"/>
      <c r="X520" s="8" t="n"/>
      <c r="Y520" s="8" t="n"/>
      <c r="Z520" s="8" t="n"/>
      <c r="AA520" s="8" t="n"/>
      <c r="AB520" s="8" t="n"/>
      <c r="AC520" s="8" t="n"/>
      <c r="AD520" s="8" t="n"/>
      <c r="AE520" s="8" t="n"/>
      <c r="AF520" s="8" t="n"/>
      <c r="AG520" s="8" t="n"/>
      <c r="AH520" s="8" t="n"/>
      <c r="AI520" s="8" t="n"/>
      <c r="AJ520" s="8" t="n"/>
      <c r="AK520" s="8" t="n"/>
      <c r="AL520" s="8" t="n"/>
      <c r="AM520" s="8" t="n"/>
      <c r="AN520" s="8" t="n"/>
      <c r="AO520" s="8" t="n"/>
      <c r="AP520" s="8" t="n"/>
      <c r="AQ520" s="8" t="n"/>
      <c r="AR520" s="8" t="n"/>
      <c r="AS520" s="8" t="n"/>
      <c r="AT520" s="8" t="n"/>
      <c r="AU520" s="8" t="n"/>
      <c r="AV520" s="8" t="n"/>
      <c r="AW520" s="8" t="n"/>
      <c r="AX520" s="8" t="n"/>
      <c r="AY520" s="8" t="n"/>
      <c r="AZ520" s="8" t="n"/>
    </row>
    <row r="521" customFormat="1" s="12">
      <c r="D521" s="13" t="n"/>
      <c r="E521" s="8" t="n"/>
      <c r="F521" s="8" t="n"/>
      <c r="G521" s="8" t="n"/>
      <c r="H521" s="8" t="n"/>
      <c r="I521" s="8" t="n"/>
      <c r="J521" s="8" t="n"/>
      <c r="K521" s="8" t="n"/>
      <c r="L521" s="8" t="n"/>
      <c r="M521" s="8" t="n"/>
      <c r="N521" s="8" t="n"/>
      <c r="O521" s="8" t="n"/>
      <c r="P521" s="8" t="n"/>
      <c r="Q521" s="8" t="n"/>
      <c r="R521" s="8" t="n"/>
      <c r="S521" s="8" t="n"/>
      <c r="T521" s="8" t="n"/>
      <c r="U521" s="8" t="n"/>
      <c r="V521" s="8" t="n"/>
      <c r="W521" s="8" t="n"/>
      <c r="X521" s="8" t="n"/>
      <c r="Y521" s="8" t="n"/>
      <c r="Z521" s="8" t="n"/>
      <c r="AA521" s="8" t="n"/>
      <c r="AB521" s="8" t="n"/>
      <c r="AC521" s="8" t="n"/>
      <c r="AD521" s="8" t="n"/>
      <c r="AE521" s="8" t="n"/>
      <c r="AF521" s="8" t="n"/>
      <c r="AG521" s="8" t="n"/>
      <c r="AH521" s="8" t="n"/>
      <c r="AI521" s="8" t="n"/>
      <c r="AJ521" s="8" t="n"/>
      <c r="AK521" s="8" t="n"/>
      <c r="AL521" s="8" t="n"/>
      <c r="AM521" s="8" t="n"/>
      <c r="AN521" s="8" t="n"/>
      <c r="AO521" s="8" t="n"/>
      <c r="AP521" s="8" t="n"/>
      <c r="AQ521" s="8" t="n"/>
      <c r="AR521" s="8" t="n"/>
      <c r="AS521" s="8" t="n"/>
      <c r="AT521" s="8" t="n"/>
      <c r="AU521" s="8" t="n"/>
      <c r="AV521" s="8" t="n"/>
      <c r="AW521" s="8" t="n"/>
      <c r="AX521" s="8" t="n"/>
      <c r="AY521" s="8" t="n"/>
      <c r="AZ521" s="8" t="n"/>
    </row>
    <row r="522" customFormat="1" s="12">
      <c r="D522" s="13" t="n"/>
      <c r="E522" s="8" t="n"/>
      <c r="F522" s="8" t="n"/>
      <c r="G522" s="8" t="n"/>
      <c r="H522" s="8" t="n"/>
      <c r="I522" s="8" t="n"/>
      <c r="J522" s="8" t="n"/>
      <c r="K522" s="8" t="n"/>
      <c r="L522" s="8" t="n"/>
      <c r="M522" s="8" t="n"/>
      <c r="N522" s="8" t="n"/>
      <c r="O522" s="8" t="n"/>
      <c r="P522" s="8" t="n"/>
      <c r="Q522" s="8" t="n"/>
      <c r="R522" s="8" t="n"/>
      <c r="S522" s="8" t="n"/>
      <c r="T522" s="8" t="n"/>
      <c r="U522" s="8" t="n"/>
      <c r="V522" s="8" t="n"/>
      <c r="W522" s="8" t="n"/>
      <c r="X522" s="8" t="n"/>
      <c r="Y522" s="8" t="n"/>
      <c r="Z522" s="8" t="n"/>
      <c r="AA522" s="8" t="n"/>
      <c r="AB522" s="8" t="n"/>
      <c r="AC522" s="8" t="n"/>
      <c r="AD522" s="8" t="n"/>
      <c r="AE522" s="8" t="n"/>
      <c r="AF522" s="8" t="n"/>
      <c r="AG522" s="8" t="n"/>
      <c r="AH522" s="8" t="n"/>
      <c r="AI522" s="8" t="n"/>
      <c r="AJ522" s="8" t="n"/>
      <c r="AK522" s="8" t="n"/>
      <c r="AL522" s="8" t="n"/>
      <c r="AM522" s="8" t="n"/>
      <c r="AN522" s="8" t="n"/>
      <c r="AO522" s="8" t="n"/>
      <c r="AP522" s="8" t="n"/>
      <c r="AQ522" s="8" t="n"/>
      <c r="AR522" s="8" t="n"/>
      <c r="AS522" s="8" t="n"/>
      <c r="AT522" s="8" t="n"/>
      <c r="AU522" s="8" t="n"/>
      <c r="AV522" s="8" t="n"/>
      <c r="AW522" s="8" t="n"/>
      <c r="AX522" s="8" t="n"/>
      <c r="AY522" s="8" t="n"/>
      <c r="AZ522" s="8" t="n"/>
    </row>
    <row r="523" customFormat="1" s="12">
      <c r="D523" s="13" t="n"/>
      <c r="E523" s="8" t="n"/>
      <c r="F523" s="8" t="n"/>
      <c r="G523" s="8" t="n"/>
      <c r="H523" s="8" t="n"/>
      <c r="I523" s="8" t="n"/>
      <c r="J523" s="8" t="n"/>
      <c r="K523" s="8" t="n"/>
      <c r="L523" s="8" t="n"/>
      <c r="M523" s="8" t="n"/>
      <c r="N523" s="8" t="n"/>
      <c r="O523" s="8" t="n"/>
      <c r="P523" s="8" t="n"/>
      <c r="Q523" s="8" t="n"/>
      <c r="R523" s="8" t="n"/>
      <c r="S523" s="8" t="n"/>
      <c r="T523" s="8" t="n"/>
      <c r="U523" s="8" t="n"/>
      <c r="V523" s="8" t="n"/>
      <c r="W523" s="8" t="n"/>
      <c r="X523" s="8" t="n"/>
      <c r="Y523" s="8" t="n"/>
      <c r="Z523" s="8" t="n"/>
      <c r="AA523" s="8" t="n"/>
      <c r="AB523" s="8" t="n"/>
      <c r="AC523" s="8" t="n"/>
      <c r="AD523" s="8" t="n"/>
      <c r="AE523" s="8" t="n"/>
      <c r="AF523" s="8" t="n"/>
      <c r="AG523" s="8" t="n"/>
      <c r="AH523" s="8" t="n"/>
      <c r="AI523" s="8" t="n"/>
      <c r="AJ523" s="8" t="n"/>
      <c r="AK523" s="8" t="n"/>
      <c r="AL523" s="8" t="n"/>
      <c r="AM523" s="8" t="n"/>
      <c r="AN523" s="8" t="n"/>
      <c r="AO523" s="8" t="n"/>
      <c r="AP523" s="8" t="n"/>
      <c r="AQ523" s="8" t="n"/>
      <c r="AR523" s="8" t="n"/>
      <c r="AS523" s="8" t="n"/>
      <c r="AT523" s="8" t="n"/>
      <c r="AU523" s="8" t="n"/>
      <c r="AV523" s="8" t="n"/>
      <c r="AW523" s="8" t="n"/>
      <c r="AX523" s="8" t="n"/>
      <c r="AY523" s="8" t="n"/>
      <c r="AZ523" s="8" t="n"/>
    </row>
    <row r="524" customFormat="1" s="12">
      <c r="D524" s="13" t="n"/>
      <c r="E524" s="8" t="n"/>
      <c r="F524" s="8" t="n"/>
      <c r="G524" s="8" t="n"/>
      <c r="H524" s="8" t="n"/>
      <c r="I524" s="8" t="n"/>
      <c r="J524" s="8" t="n"/>
      <c r="K524" s="8" t="n"/>
      <c r="L524" s="8" t="n"/>
      <c r="M524" s="8" t="n"/>
      <c r="N524" s="8" t="n"/>
      <c r="O524" s="8" t="n"/>
      <c r="P524" s="8" t="n"/>
      <c r="Q524" s="8" t="n"/>
      <c r="R524" s="8" t="n"/>
      <c r="S524" s="8" t="n"/>
      <c r="T524" s="8" t="n"/>
      <c r="U524" s="8" t="n"/>
      <c r="V524" s="8" t="n"/>
      <c r="W524" s="8" t="n"/>
      <c r="X524" s="8" t="n"/>
      <c r="Y524" s="8" t="n"/>
      <c r="Z524" s="8" t="n"/>
      <c r="AA524" s="8" t="n"/>
      <c r="AB524" s="8" t="n"/>
      <c r="AC524" s="8" t="n"/>
      <c r="AD524" s="8" t="n"/>
      <c r="AE524" s="8" t="n"/>
      <c r="AF524" s="8" t="n"/>
      <c r="AG524" s="8" t="n"/>
      <c r="AH524" s="8" t="n"/>
      <c r="AI524" s="8" t="n"/>
      <c r="AJ524" s="8" t="n"/>
      <c r="AK524" s="8" t="n"/>
      <c r="AL524" s="8" t="n"/>
      <c r="AM524" s="8" t="n"/>
      <c r="AN524" s="8" t="n"/>
      <c r="AO524" s="8" t="n"/>
      <c r="AP524" s="8" t="n"/>
      <c r="AQ524" s="8" t="n"/>
      <c r="AR524" s="8" t="n"/>
      <c r="AS524" s="8" t="n"/>
      <c r="AT524" s="8" t="n"/>
      <c r="AU524" s="8" t="n"/>
      <c r="AV524" s="8" t="n"/>
      <c r="AW524" s="8" t="n"/>
      <c r="AX524" s="8" t="n"/>
      <c r="AY524" s="8" t="n"/>
      <c r="AZ524" s="8" t="n"/>
    </row>
    <row r="525" customFormat="1" s="12">
      <c r="D525" s="13" t="n"/>
      <c r="E525" s="8" t="n"/>
      <c r="F525" s="8" t="n"/>
      <c r="G525" s="8" t="n"/>
      <c r="H525" s="8" t="n"/>
      <c r="I525" s="8" t="n"/>
      <c r="J525" s="8" t="n"/>
      <c r="K525" s="8" t="n"/>
      <c r="L525" s="8" t="n"/>
      <c r="M525" s="8" t="n"/>
      <c r="N525" s="8" t="n"/>
      <c r="O525" s="8" t="n"/>
      <c r="P525" s="8" t="n"/>
      <c r="Q525" s="8" t="n"/>
      <c r="R525" s="8" t="n"/>
      <c r="S525" s="8" t="n"/>
      <c r="T525" s="8" t="n"/>
      <c r="U525" s="8" t="n"/>
      <c r="V525" s="8" t="n"/>
      <c r="W525" s="8" t="n"/>
      <c r="X525" s="8" t="n"/>
      <c r="Y525" s="8" t="n"/>
      <c r="Z525" s="8" t="n"/>
      <c r="AA525" s="8" t="n"/>
      <c r="AB525" s="8" t="n"/>
      <c r="AC525" s="8" t="n"/>
      <c r="AD525" s="8" t="n"/>
      <c r="AE525" s="8" t="n"/>
      <c r="AF525" s="8" t="n"/>
      <c r="AG525" s="8" t="n"/>
      <c r="AH525" s="8" t="n"/>
      <c r="AI525" s="8" t="n"/>
      <c r="AJ525" s="8" t="n"/>
      <c r="AK525" s="8" t="n"/>
      <c r="AL525" s="8" t="n"/>
      <c r="AM525" s="8" t="n"/>
      <c r="AN525" s="8" t="n"/>
      <c r="AO525" s="8" t="n"/>
      <c r="AP525" s="8" t="n"/>
      <c r="AQ525" s="8" t="n"/>
      <c r="AR525" s="8" t="n"/>
      <c r="AS525" s="8" t="n"/>
      <c r="AT525" s="8" t="n"/>
      <c r="AU525" s="8" t="n"/>
      <c r="AV525" s="8" t="n"/>
      <c r="AW525" s="8" t="n"/>
      <c r="AX525" s="8" t="n"/>
      <c r="AY525" s="8" t="n"/>
      <c r="AZ525" s="8" t="n"/>
    </row>
    <row r="526" customFormat="1" s="12">
      <c r="D526" s="13" t="n"/>
      <c r="E526" s="8" t="n"/>
      <c r="F526" s="8" t="n"/>
      <c r="G526" s="8" t="n"/>
      <c r="H526" s="8" t="n"/>
      <c r="I526" s="8" t="n"/>
      <c r="J526" s="8" t="n"/>
      <c r="K526" s="8" t="n"/>
      <c r="L526" s="8" t="n"/>
      <c r="M526" s="8" t="n"/>
      <c r="N526" s="8" t="n"/>
      <c r="O526" s="8" t="n"/>
      <c r="P526" s="8" t="n"/>
      <c r="Q526" s="8" t="n"/>
      <c r="R526" s="8" t="n"/>
      <c r="S526" s="8" t="n"/>
      <c r="T526" s="8" t="n"/>
      <c r="U526" s="8" t="n"/>
      <c r="V526" s="8" t="n"/>
      <c r="W526" s="8" t="n"/>
      <c r="X526" s="8" t="n"/>
      <c r="Y526" s="8" t="n"/>
      <c r="Z526" s="8" t="n"/>
      <c r="AA526" s="8" t="n"/>
      <c r="AB526" s="8" t="n"/>
      <c r="AC526" s="8" t="n"/>
      <c r="AD526" s="8" t="n"/>
      <c r="AE526" s="8" t="n"/>
      <c r="AF526" s="8" t="n"/>
      <c r="AG526" s="8" t="n"/>
      <c r="AH526" s="8" t="n"/>
      <c r="AI526" s="8" t="n"/>
      <c r="AJ526" s="8" t="n"/>
      <c r="AK526" s="8" t="n"/>
      <c r="AL526" s="8" t="n"/>
      <c r="AM526" s="8" t="n"/>
      <c r="AN526" s="8" t="n"/>
      <c r="AO526" s="8" t="n"/>
      <c r="AP526" s="8" t="n"/>
      <c r="AQ526" s="8" t="n"/>
      <c r="AR526" s="8" t="n"/>
      <c r="AS526" s="8" t="n"/>
      <c r="AT526" s="8" t="n"/>
      <c r="AU526" s="8" t="n"/>
      <c r="AV526" s="8" t="n"/>
      <c r="AW526" s="8" t="n"/>
      <c r="AX526" s="8" t="n"/>
      <c r="AY526" s="8" t="n"/>
      <c r="AZ526" s="8" t="n"/>
    </row>
    <row r="527" customFormat="1" s="12">
      <c r="D527" s="13" t="n"/>
      <c r="E527" s="8" t="n"/>
      <c r="F527" s="8" t="n"/>
      <c r="G527" s="8" t="n"/>
      <c r="H527" s="8" t="n"/>
      <c r="I527" s="8" t="n"/>
      <c r="J527" s="8" t="n"/>
      <c r="K527" s="8" t="n"/>
      <c r="L527" s="8" t="n"/>
      <c r="M527" s="8" t="n"/>
      <c r="N527" s="8" t="n"/>
      <c r="O527" s="8" t="n"/>
      <c r="P527" s="8" t="n"/>
      <c r="Q527" s="8" t="n"/>
      <c r="R527" s="8" t="n"/>
      <c r="S527" s="8" t="n"/>
      <c r="T527" s="8" t="n"/>
      <c r="U527" s="8" t="n"/>
      <c r="V527" s="8" t="n"/>
      <c r="W527" s="8" t="n"/>
      <c r="X527" s="8" t="n"/>
      <c r="Y527" s="8" t="n"/>
      <c r="Z527" s="8" t="n"/>
      <c r="AA527" s="8" t="n"/>
      <c r="AB527" s="8" t="n"/>
      <c r="AC527" s="8" t="n"/>
      <c r="AD527" s="8" t="n"/>
      <c r="AE527" s="8" t="n"/>
      <c r="AF527" s="8" t="n"/>
      <c r="AG527" s="8" t="n"/>
      <c r="AH527" s="8" t="n"/>
      <c r="AI527" s="8" t="n"/>
      <c r="AJ527" s="8" t="n"/>
      <c r="AK527" s="8" t="n"/>
      <c r="AL527" s="8" t="n"/>
      <c r="AM527" s="8" t="n"/>
      <c r="AN527" s="8" t="n"/>
      <c r="AO527" s="8" t="n"/>
      <c r="AP527" s="8" t="n"/>
      <c r="AQ527" s="8" t="n"/>
      <c r="AR527" s="8" t="n"/>
      <c r="AS527" s="8" t="n"/>
      <c r="AT527" s="8" t="n"/>
      <c r="AU527" s="8" t="n"/>
      <c r="AV527" s="8" t="n"/>
      <c r="AW527" s="8" t="n"/>
      <c r="AX527" s="8" t="n"/>
      <c r="AY527" s="8" t="n"/>
      <c r="AZ527" s="8" t="n"/>
    </row>
    <row r="528" customFormat="1" s="12">
      <c r="D528" s="13" t="n"/>
      <c r="E528" s="8" t="n"/>
      <c r="F528" s="8" t="n"/>
      <c r="G528" s="8" t="n"/>
      <c r="H528" s="8" t="n"/>
      <c r="I528" s="8" t="n"/>
      <c r="J528" s="8" t="n"/>
      <c r="K528" s="8" t="n"/>
      <c r="L528" s="8" t="n"/>
      <c r="M528" s="8" t="n"/>
      <c r="N528" s="8" t="n"/>
      <c r="O528" s="8" t="n"/>
      <c r="P528" s="8" t="n"/>
      <c r="Q528" s="8" t="n"/>
      <c r="R528" s="8" t="n"/>
      <c r="S528" s="8" t="n"/>
      <c r="T528" s="8" t="n"/>
      <c r="U528" s="8" t="n"/>
      <c r="V528" s="8" t="n"/>
      <c r="W528" s="8" t="n"/>
      <c r="X528" s="8" t="n"/>
      <c r="Y528" s="8" t="n"/>
      <c r="Z528" s="8" t="n"/>
      <c r="AA528" s="8" t="n"/>
      <c r="AB528" s="8" t="n"/>
      <c r="AC528" s="8" t="n"/>
      <c r="AD528" s="8" t="n"/>
      <c r="AE528" s="8" t="n"/>
      <c r="AF528" s="8" t="n"/>
      <c r="AG528" s="8" t="n"/>
      <c r="AH528" s="8" t="n"/>
      <c r="AI528" s="8" t="n"/>
      <c r="AJ528" s="8" t="n"/>
      <c r="AK528" s="8" t="n"/>
      <c r="AL528" s="8" t="n"/>
      <c r="AM528" s="8" t="n"/>
      <c r="AN528" s="8" t="n"/>
      <c r="AO528" s="8" t="n"/>
      <c r="AP528" s="8" t="n"/>
      <c r="AQ528" s="8" t="n"/>
      <c r="AR528" s="8" t="n"/>
      <c r="AS528" s="8" t="n"/>
      <c r="AT528" s="8" t="n"/>
      <c r="AU528" s="8" t="n"/>
      <c r="AV528" s="8" t="n"/>
      <c r="AW528" s="8" t="n"/>
      <c r="AX528" s="8" t="n"/>
      <c r="AY528" s="8" t="n"/>
      <c r="AZ528" s="8" t="n"/>
    </row>
    <row r="529" customFormat="1" s="12">
      <c r="D529" s="13" t="n"/>
      <c r="E529" s="8" t="n"/>
      <c r="F529" s="8" t="n"/>
      <c r="G529" s="8" t="n"/>
      <c r="H529" s="8" t="n"/>
      <c r="I529" s="8" t="n"/>
      <c r="J529" s="8" t="n"/>
      <c r="K529" s="8" t="n"/>
      <c r="L529" s="8" t="n"/>
      <c r="M529" s="8" t="n"/>
      <c r="N529" s="8" t="n"/>
      <c r="O529" s="8" t="n"/>
      <c r="P529" s="8" t="n"/>
      <c r="Q529" s="8" t="n"/>
      <c r="R529" s="8" t="n"/>
      <c r="S529" s="8" t="n"/>
      <c r="T529" s="8" t="n"/>
      <c r="U529" s="8" t="n"/>
      <c r="V529" s="8" t="n"/>
      <c r="W529" s="8" t="n"/>
      <c r="X529" s="8" t="n"/>
      <c r="Y529" s="8" t="n"/>
      <c r="Z529" s="8" t="n"/>
      <c r="AA529" s="8" t="n"/>
      <c r="AB529" s="8" t="n"/>
      <c r="AC529" s="8" t="n"/>
      <c r="AD529" s="8" t="n"/>
      <c r="AE529" s="8" t="n"/>
      <c r="AF529" s="8" t="n"/>
      <c r="AG529" s="8" t="n"/>
      <c r="AH529" s="8" t="n"/>
      <c r="AI529" s="8" t="n"/>
      <c r="AJ529" s="8" t="n"/>
      <c r="AK529" s="8" t="n"/>
      <c r="AL529" s="8" t="n"/>
      <c r="AM529" s="8" t="n"/>
      <c r="AN529" s="8" t="n"/>
      <c r="AO529" s="8" t="n"/>
      <c r="AP529" s="8" t="n"/>
      <c r="AQ529" s="8" t="n"/>
      <c r="AR529" s="8" t="n"/>
      <c r="AS529" s="8" t="n"/>
      <c r="AT529" s="8" t="n"/>
      <c r="AU529" s="8" t="n"/>
      <c r="AV529" s="8" t="n"/>
      <c r="AW529" s="8" t="n"/>
      <c r="AX529" s="8" t="n"/>
      <c r="AY529" s="8" t="n"/>
      <c r="AZ529" s="8" t="n"/>
    </row>
    <row r="530" customFormat="1" s="12">
      <c r="D530" s="13" t="n"/>
      <c r="E530" s="8" t="n"/>
      <c r="F530" s="8" t="n"/>
      <c r="G530" s="8" t="n"/>
      <c r="H530" s="8" t="n"/>
      <c r="I530" s="8" t="n"/>
      <c r="J530" s="8" t="n"/>
      <c r="K530" s="8" t="n"/>
      <c r="L530" s="8" t="n"/>
      <c r="M530" s="8" t="n"/>
      <c r="N530" s="8" t="n"/>
      <c r="O530" s="8" t="n"/>
      <c r="P530" s="8" t="n"/>
      <c r="Q530" s="8" t="n"/>
      <c r="R530" s="8" t="n"/>
      <c r="S530" s="8" t="n"/>
      <c r="T530" s="8" t="n"/>
      <c r="U530" s="8" t="n"/>
      <c r="V530" s="8" t="n"/>
      <c r="W530" s="8" t="n"/>
      <c r="X530" s="8" t="n"/>
      <c r="Y530" s="8" t="n"/>
      <c r="Z530" s="8" t="n"/>
      <c r="AA530" s="8" t="n"/>
      <c r="AB530" s="8" t="n"/>
      <c r="AC530" s="8" t="n"/>
      <c r="AD530" s="8" t="n"/>
      <c r="AE530" s="8" t="n"/>
      <c r="AF530" s="8" t="n"/>
      <c r="AG530" s="8" t="n"/>
      <c r="AH530" s="8" t="n"/>
      <c r="AI530" s="8" t="n"/>
      <c r="AJ530" s="8" t="n"/>
      <c r="AK530" s="8" t="n"/>
      <c r="AL530" s="8" t="n"/>
      <c r="AM530" s="8" t="n"/>
      <c r="AN530" s="8" t="n"/>
      <c r="AO530" s="8" t="n"/>
      <c r="AP530" s="8" t="n"/>
      <c r="AQ530" s="8" t="n"/>
      <c r="AR530" s="8" t="n"/>
      <c r="AS530" s="8" t="n"/>
      <c r="AT530" s="8" t="n"/>
      <c r="AU530" s="8" t="n"/>
      <c r="AV530" s="8" t="n"/>
      <c r="AW530" s="8" t="n"/>
      <c r="AX530" s="8" t="n"/>
      <c r="AY530" s="8" t="n"/>
      <c r="AZ530" s="8" t="n"/>
    </row>
    <row r="531" customFormat="1" s="12">
      <c r="D531" s="13" t="n"/>
      <c r="E531" s="8" t="n"/>
      <c r="F531" s="8" t="n"/>
      <c r="G531" s="8" t="n"/>
      <c r="H531" s="8" t="n"/>
      <c r="I531" s="8" t="n"/>
      <c r="J531" s="8" t="n"/>
      <c r="K531" s="8" t="n"/>
      <c r="L531" s="8" t="n"/>
      <c r="M531" s="8" t="n"/>
      <c r="N531" s="8" t="n"/>
      <c r="O531" s="8" t="n"/>
      <c r="P531" s="8" t="n"/>
      <c r="Q531" s="8" t="n"/>
      <c r="R531" s="8" t="n"/>
      <c r="S531" s="8" t="n"/>
      <c r="T531" s="8" t="n"/>
      <c r="U531" s="8" t="n"/>
      <c r="V531" s="8" t="n"/>
      <c r="W531" s="8" t="n"/>
      <c r="X531" s="8" t="n"/>
      <c r="Y531" s="8" t="n"/>
      <c r="Z531" s="8" t="n"/>
      <c r="AA531" s="8" t="n"/>
      <c r="AB531" s="8" t="n"/>
      <c r="AC531" s="8" t="n"/>
      <c r="AD531" s="8" t="n"/>
      <c r="AE531" s="8" t="n"/>
      <c r="AF531" s="8" t="n"/>
      <c r="AG531" s="8" t="n"/>
      <c r="AH531" s="8" t="n"/>
      <c r="AI531" s="8" t="n"/>
      <c r="AJ531" s="8" t="n"/>
      <c r="AK531" s="8" t="n"/>
      <c r="AL531" s="8" t="n"/>
      <c r="AM531" s="8" t="n"/>
      <c r="AN531" s="8" t="n"/>
      <c r="AO531" s="8" t="n"/>
      <c r="AP531" s="8" t="n"/>
      <c r="AQ531" s="8" t="n"/>
      <c r="AR531" s="8" t="n"/>
      <c r="AS531" s="8" t="n"/>
      <c r="AT531" s="8" t="n"/>
      <c r="AU531" s="8" t="n"/>
      <c r="AV531" s="8" t="n"/>
      <c r="AW531" s="8" t="n"/>
      <c r="AX531" s="8" t="n"/>
      <c r="AY531" s="8" t="n"/>
      <c r="AZ531" s="8" t="n"/>
    </row>
    <row r="532" customFormat="1" s="12">
      <c r="D532" s="13" t="n"/>
      <c r="E532" s="8" t="n"/>
      <c r="F532" s="8" t="n"/>
      <c r="G532" s="8" t="n"/>
      <c r="H532" s="8" t="n"/>
      <c r="I532" s="8" t="n"/>
      <c r="J532" s="8" t="n"/>
      <c r="K532" s="8" t="n"/>
      <c r="L532" s="8" t="n"/>
      <c r="M532" s="8" t="n"/>
      <c r="N532" s="8" t="n"/>
      <c r="O532" s="8" t="n"/>
      <c r="P532" s="8" t="n"/>
      <c r="Q532" s="8" t="n"/>
      <c r="R532" s="8" t="n"/>
      <c r="S532" s="8" t="n"/>
      <c r="T532" s="8" t="n"/>
      <c r="U532" s="8" t="n"/>
      <c r="V532" s="8" t="n"/>
      <c r="W532" s="8" t="n"/>
      <c r="X532" s="8" t="n"/>
      <c r="Y532" s="8" t="n"/>
      <c r="Z532" s="8" t="n"/>
      <c r="AA532" s="8" t="n"/>
      <c r="AB532" s="8" t="n"/>
      <c r="AC532" s="8" t="n"/>
      <c r="AD532" s="8" t="n"/>
      <c r="AE532" s="8" t="n"/>
      <c r="AF532" s="8" t="n"/>
      <c r="AG532" s="8" t="n"/>
      <c r="AH532" s="8" t="n"/>
      <c r="AI532" s="8" t="n"/>
      <c r="AJ532" s="8" t="n"/>
      <c r="AK532" s="8" t="n"/>
      <c r="AL532" s="8" t="n"/>
      <c r="AM532" s="8" t="n"/>
      <c r="AN532" s="8" t="n"/>
      <c r="AO532" s="8" t="n"/>
      <c r="AP532" s="8" t="n"/>
      <c r="AQ532" s="8" t="n"/>
      <c r="AR532" s="8" t="n"/>
      <c r="AS532" s="8" t="n"/>
      <c r="AT532" s="8" t="n"/>
      <c r="AU532" s="8" t="n"/>
      <c r="AV532" s="8" t="n"/>
      <c r="AW532" s="8" t="n"/>
      <c r="AX532" s="8" t="n"/>
      <c r="AY532" s="8" t="n"/>
      <c r="AZ532" s="8" t="n"/>
    </row>
    <row r="533" customFormat="1" s="12">
      <c r="D533" s="13" t="n"/>
      <c r="E533" s="8" t="n"/>
      <c r="F533" s="8" t="n"/>
      <c r="G533" s="8" t="n"/>
      <c r="H533" s="8" t="n"/>
      <c r="I533" s="8" t="n"/>
      <c r="J533" s="8" t="n"/>
      <c r="K533" s="8" t="n"/>
      <c r="L533" s="8" t="n"/>
      <c r="M533" s="8" t="n"/>
      <c r="N533" s="8" t="n"/>
      <c r="O533" s="8" t="n"/>
      <c r="P533" s="8" t="n"/>
      <c r="Q533" s="8" t="n"/>
      <c r="R533" s="8" t="n"/>
      <c r="S533" s="8" t="n"/>
      <c r="T533" s="8" t="n"/>
      <c r="U533" s="8" t="n"/>
      <c r="V533" s="8" t="n"/>
      <c r="W533" s="8" t="n"/>
      <c r="X533" s="8" t="n"/>
      <c r="Y533" s="8" t="n"/>
      <c r="Z533" s="8" t="n"/>
      <c r="AA533" s="8" t="n"/>
      <c r="AB533" s="8" t="n"/>
      <c r="AC533" s="8" t="n"/>
      <c r="AD533" s="8" t="n"/>
      <c r="AE533" s="8" t="n"/>
      <c r="AF533" s="8" t="n"/>
      <c r="AG533" s="8" t="n"/>
      <c r="AH533" s="8" t="n"/>
      <c r="AI533" s="8" t="n"/>
      <c r="AJ533" s="8" t="n"/>
      <c r="AK533" s="8" t="n"/>
      <c r="AL533" s="8" t="n"/>
      <c r="AM533" s="8" t="n"/>
      <c r="AN533" s="8" t="n"/>
      <c r="AO533" s="8" t="n"/>
      <c r="AP533" s="8" t="n"/>
      <c r="AQ533" s="8" t="n"/>
      <c r="AR533" s="8" t="n"/>
      <c r="AS533" s="8" t="n"/>
      <c r="AT533" s="8" t="n"/>
      <c r="AU533" s="8" t="n"/>
      <c r="AV533" s="8" t="n"/>
      <c r="AW533" s="8" t="n"/>
      <c r="AX533" s="8" t="n"/>
      <c r="AY533" s="8" t="n"/>
      <c r="AZ533" s="8" t="n"/>
    </row>
    <row r="534" customFormat="1" s="12">
      <c r="D534" s="13" t="n"/>
      <c r="E534" s="8" t="n"/>
      <c r="F534" s="8" t="n"/>
      <c r="G534" s="8" t="n"/>
      <c r="H534" s="8" t="n"/>
      <c r="I534" s="8" t="n"/>
      <c r="J534" s="8" t="n"/>
      <c r="K534" s="8" t="n"/>
      <c r="L534" s="8" t="n"/>
      <c r="M534" s="8" t="n"/>
      <c r="N534" s="8" t="n"/>
      <c r="O534" s="8" t="n"/>
      <c r="P534" s="8" t="n"/>
      <c r="Q534" s="8" t="n"/>
      <c r="R534" s="8" t="n"/>
      <c r="S534" s="8" t="n"/>
      <c r="T534" s="8" t="n"/>
      <c r="U534" s="8" t="n"/>
      <c r="V534" s="8" t="n"/>
      <c r="W534" s="8" t="n"/>
      <c r="X534" s="8" t="n"/>
      <c r="Y534" s="8" t="n"/>
      <c r="Z534" s="8" t="n"/>
      <c r="AA534" s="8" t="n"/>
      <c r="AB534" s="8" t="n"/>
      <c r="AC534" s="8" t="n"/>
      <c r="AD534" s="8" t="n"/>
      <c r="AE534" s="8" t="n"/>
      <c r="AF534" s="8" t="n"/>
      <c r="AG534" s="8" t="n"/>
      <c r="AH534" s="8" t="n"/>
      <c r="AI534" s="8" t="n"/>
      <c r="AJ534" s="8" t="n"/>
      <c r="AK534" s="8" t="n"/>
      <c r="AL534" s="8" t="n"/>
      <c r="AM534" s="8" t="n"/>
      <c r="AN534" s="8" t="n"/>
      <c r="AO534" s="8" t="n"/>
      <c r="AP534" s="8" t="n"/>
      <c r="AQ534" s="8" t="n"/>
      <c r="AR534" s="8" t="n"/>
      <c r="AS534" s="8" t="n"/>
      <c r="AT534" s="8" t="n"/>
      <c r="AU534" s="8" t="n"/>
      <c r="AV534" s="8" t="n"/>
      <c r="AW534" s="8" t="n"/>
      <c r="AX534" s="8" t="n"/>
      <c r="AY534" s="8" t="n"/>
      <c r="AZ534" s="8" t="n"/>
    </row>
    <row r="535" customFormat="1" s="12">
      <c r="D535" s="13" t="n"/>
      <c r="E535" s="8" t="n"/>
      <c r="F535" s="8" t="n"/>
      <c r="G535" s="8" t="n"/>
      <c r="H535" s="8" t="n"/>
      <c r="I535" s="8" t="n"/>
      <c r="J535" s="8" t="n"/>
      <c r="K535" s="8" t="n"/>
      <c r="L535" s="8" t="n"/>
      <c r="M535" s="8" t="n"/>
      <c r="N535" s="8" t="n"/>
      <c r="O535" s="8" t="n"/>
      <c r="P535" s="8" t="n"/>
      <c r="Q535" s="8" t="n"/>
      <c r="R535" s="8" t="n"/>
      <c r="S535" s="8" t="n"/>
      <c r="T535" s="8" t="n"/>
      <c r="U535" s="8" t="n"/>
      <c r="V535" s="8" t="n"/>
      <c r="W535" s="8" t="n"/>
      <c r="X535" s="8" t="n"/>
      <c r="Y535" s="8" t="n"/>
      <c r="Z535" s="8" t="n"/>
      <c r="AA535" s="8" t="n"/>
      <c r="AB535" s="8" t="n"/>
      <c r="AC535" s="8" t="n"/>
      <c r="AD535" s="8" t="n"/>
      <c r="AE535" s="8" t="n"/>
      <c r="AF535" s="8" t="n"/>
      <c r="AG535" s="8" t="n"/>
      <c r="AH535" s="8" t="n"/>
      <c r="AI535" s="8" t="n"/>
      <c r="AJ535" s="8" t="n"/>
      <c r="AK535" s="8" t="n"/>
      <c r="AL535" s="8" t="n"/>
      <c r="AM535" s="8" t="n"/>
      <c r="AN535" s="8" t="n"/>
      <c r="AO535" s="8" t="n"/>
      <c r="AP535" s="8" t="n"/>
      <c r="AQ535" s="8" t="n"/>
      <c r="AR535" s="8" t="n"/>
      <c r="AS535" s="8" t="n"/>
      <c r="AT535" s="8" t="n"/>
      <c r="AU535" s="8" t="n"/>
      <c r="AV535" s="8" t="n"/>
      <c r="AW535" s="8" t="n"/>
      <c r="AX535" s="8" t="n"/>
      <c r="AY535" s="8" t="n"/>
      <c r="AZ535" s="8" t="n"/>
    </row>
    <row r="536" customFormat="1" s="12">
      <c r="D536" s="13" t="n"/>
      <c r="E536" s="8" t="n"/>
      <c r="F536" s="8" t="n"/>
      <c r="G536" s="8" t="n"/>
      <c r="H536" s="8" t="n"/>
      <c r="I536" s="8" t="n"/>
      <c r="J536" s="8" t="n"/>
      <c r="K536" s="8" t="n"/>
      <c r="L536" s="8" t="n"/>
      <c r="M536" s="8" t="n"/>
      <c r="N536" s="8" t="n"/>
      <c r="O536" s="8" t="n"/>
      <c r="P536" s="8" t="n"/>
      <c r="Q536" s="8" t="n"/>
      <c r="R536" s="8" t="n"/>
      <c r="S536" s="8" t="n"/>
      <c r="T536" s="8" t="n"/>
      <c r="U536" s="8" t="n"/>
      <c r="V536" s="8" t="n"/>
      <c r="W536" s="8" t="n"/>
      <c r="X536" s="8" t="n"/>
      <c r="Y536" s="8" t="n"/>
      <c r="Z536" s="8" t="n"/>
      <c r="AA536" s="8" t="n"/>
      <c r="AB536" s="8" t="n"/>
      <c r="AC536" s="8" t="n"/>
      <c r="AD536" s="8" t="n"/>
      <c r="AE536" s="8" t="n"/>
      <c r="AF536" s="8" t="n"/>
      <c r="AG536" s="8" t="n"/>
      <c r="AH536" s="8" t="n"/>
      <c r="AI536" s="8" t="n"/>
      <c r="AJ536" s="8" t="n"/>
      <c r="AK536" s="8" t="n"/>
      <c r="AL536" s="8" t="n"/>
      <c r="AM536" s="8" t="n"/>
      <c r="AN536" s="8" t="n"/>
      <c r="AO536" s="8" t="n"/>
      <c r="AP536" s="8" t="n"/>
      <c r="AQ536" s="8" t="n"/>
      <c r="AR536" s="8" t="n"/>
      <c r="AS536" s="8" t="n"/>
      <c r="AT536" s="8" t="n"/>
      <c r="AU536" s="8" t="n"/>
      <c r="AV536" s="8" t="n"/>
      <c r="AW536" s="8" t="n"/>
      <c r="AX536" s="8" t="n"/>
      <c r="AY536" s="8" t="n"/>
      <c r="AZ536" s="8" t="n"/>
    </row>
    <row r="537" customFormat="1" s="12">
      <c r="D537" s="13" t="n"/>
      <c r="E537" s="8" t="n"/>
      <c r="F537" s="8" t="n"/>
      <c r="G537" s="8" t="n"/>
      <c r="H537" s="8" t="n"/>
      <c r="I537" s="8" t="n"/>
      <c r="J537" s="8" t="n"/>
      <c r="K537" s="8" t="n"/>
      <c r="L537" s="8" t="n"/>
      <c r="M537" s="8" t="n"/>
      <c r="N537" s="8" t="n"/>
      <c r="O537" s="8" t="n"/>
      <c r="P537" s="8" t="n"/>
      <c r="Q537" s="8" t="n"/>
      <c r="R537" s="8" t="n"/>
      <c r="S537" s="8" t="n"/>
      <c r="T537" s="8" t="n"/>
      <c r="U537" s="8" t="n"/>
      <c r="V537" s="8" t="n"/>
      <c r="W537" s="8" t="n"/>
      <c r="X537" s="8" t="n"/>
      <c r="Y537" s="8" t="n"/>
      <c r="Z537" s="8" t="n"/>
      <c r="AA537" s="8" t="n"/>
      <c r="AB537" s="8" t="n"/>
      <c r="AC537" s="8" t="n"/>
      <c r="AD537" s="8" t="n"/>
      <c r="AE537" s="8" t="n"/>
      <c r="AF537" s="8" t="n"/>
      <c r="AG537" s="8" t="n"/>
      <c r="AH537" s="8" t="n"/>
      <c r="AI537" s="8" t="n"/>
      <c r="AJ537" s="8" t="n"/>
      <c r="AK537" s="8" t="n"/>
      <c r="AL537" s="8" t="n"/>
      <c r="AM537" s="8" t="n"/>
      <c r="AN537" s="8" t="n"/>
      <c r="AO537" s="8" t="n"/>
      <c r="AP537" s="8" t="n"/>
      <c r="AQ537" s="8" t="n"/>
      <c r="AR537" s="8" t="n"/>
      <c r="AS537" s="8" t="n"/>
      <c r="AT537" s="8" t="n"/>
      <c r="AU537" s="8" t="n"/>
      <c r="AV537" s="8" t="n"/>
      <c r="AW537" s="8" t="n"/>
      <c r="AX537" s="8" t="n"/>
      <c r="AY537" s="8" t="n"/>
      <c r="AZ537" s="8" t="n"/>
    </row>
    <row r="538" customFormat="1" s="12">
      <c r="D538" s="13" t="n"/>
      <c r="E538" s="8" t="n"/>
      <c r="F538" s="8" t="n"/>
      <c r="G538" s="8" t="n"/>
      <c r="H538" s="8" t="n"/>
      <c r="I538" s="8" t="n"/>
      <c r="J538" s="8" t="n"/>
      <c r="K538" s="8" t="n"/>
      <c r="L538" s="8" t="n"/>
      <c r="M538" s="8" t="n"/>
      <c r="N538" s="8" t="n"/>
      <c r="O538" s="8" t="n"/>
      <c r="P538" s="8" t="n"/>
      <c r="Q538" s="8" t="n"/>
      <c r="R538" s="8" t="n"/>
      <c r="S538" s="8" t="n"/>
      <c r="T538" s="8" t="n"/>
      <c r="U538" s="8" t="n"/>
      <c r="V538" s="8" t="n"/>
      <c r="W538" s="8" t="n"/>
      <c r="X538" s="8" t="n"/>
      <c r="Y538" s="8" t="n"/>
      <c r="Z538" s="8" t="n"/>
      <c r="AA538" s="8" t="n"/>
      <c r="AB538" s="8" t="n"/>
      <c r="AC538" s="8" t="n"/>
      <c r="AD538" s="8" t="n"/>
      <c r="AE538" s="8" t="n"/>
      <c r="AF538" s="8" t="n"/>
      <c r="AG538" s="8" t="n"/>
      <c r="AH538" s="8" t="n"/>
      <c r="AI538" s="8" t="n"/>
      <c r="AJ538" s="8" t="n"/>
      <c r="AK538" s="8" t="n"/>
      <c r="AL538" s="8" t="n"/>
      <c r="AM538" s="8" t="n"/>
      <c r="AN538" s="8" t="n"/>
      <c r="AO538" s="8" t="n"/>
      <c r="AP538" s="8" t="n"/>
      <c r="AQ538" s="8" t="n"/>
      <c r="AR538" s="8" t="n"/>
      <c r="AS538" s="8" t="n"/>
      <c r="AT538" s="8" t="n"/>
      <c r="AU538" s="8" t="n"/>
      <c r="AV538" s="8" t="n"/>
      <c r="AW538" s="8" t="n"/>
      <c r="AX538" s="8" t="n"/>
      <c r="AY538" s="8" t="n"/>
      <c r="AZ538" s="8" t="n"/>
    </row>
    <row r="539" customFormat="1" s="12">
      <c r="D539" s="13" t="n"/>
      <c r="E539" s="8" t="n"/>
      <c r="F539" s="8" t="n"/>
      <c r="G539" s="8" t="n"/>
      <c r="H539" s="8" t="n"/>
      <c r="I539" s="8" t="n"/>
      <c r="J539" s="8" t="n"/>
      <c r="K539" s="8" t="n"/>
      <c r="L539" s="8" t="n"/>
      <c r="M539" s="8" t="n"/>
      <c r="N539" s="8" t="n"/>
      <c r="O539" s="8" t="n"/>
      <c r="P539" s="8" t="n"/>
      <c r="Q539" s="8" t="n"/>
      <c r="R539" s="8" t="n"/>
      <c r="S539" s="8" t="n"/>
      <c r="T539" s="8" t="n"/>
      <c r="U539" s="8" t="n"/>
      <c r="V539" s="8" t="n"/>
      <c r="W539" s="8" t="n"/>
      <c r="X539" s="8" t="n"/>
      <c r="Y539" s="8" t="n"/>
      <c r="Z539" s="8" t="n"/>
      <c r="AA539" s="8" t="n"/>
      <c r="AB539" s="8" t="n"/>
      <c r="AC539" s="8" t="n"/>
      <c r="AD539" s="8" t="n"/>
      <c r="AE539" s="8" t="n"/>
      <c r="AF539" s="8" t="n"/>
      <c r="AG539" s="8" t="n"/>
      <c r="AH539" s="8" t="n"/>
      <c r="AI539" s="8" t="n"/>
      <c r="AJ539" s="8" t="n"/>
      <c r="AK539" s="8" t="n"/>
      <c r="AL539" s="8" t="n"/>
      <c r="AM539" s="8" t="n"/>
      <c r="AN539" s="8" t="n"/>
      <c r="AO539" s="8" t="n"/>
      <c r="AP539" s="8" t="n"/>
      <c r="AQ539" s="8" t="n"/>
      <c r="AR539" s="8" t="n"/>
      <c r="AS539" s="8" t="n"/>
      <c r="AT539" s="8" t="n"/>
      <c r="AU539" s="8" t="n"/>
      <c r="AV539" s="8" t="n"/>
      <c r="AW539" s="8" t="n"/>
      <c r="AX539" s="8" t="n"/>
      <c r="AY539" s="8" t="n"/>
      <c r="AZ539" s="8" t="n"/>
    </row>
    <row r="540" customFormat="1" s="12">
      <c r="D540" s="13" t="n"/>
      <c r="E540" s="8" t="n"/>
      <c r="F540" s="8" t="n"/>
      <c r="G540" s="8" t="n"/>
      <c r="H540" s="8" t="n"/>
      <c r="I540" s="8" t="n"/>
      <c r="J540" s="8" t="n"/>
      <c r="K540" s="8" t="n"/>
      <c r="L540" s="8" t="n"/>
      <c r="M540" s="8" t="n"/>
      <c r="N540" s="8" t="n"/>
      <c r="O540" s="8" t="n"/>
      <c r="P540" s="8" t="n"/>
      <c r="Q540" s="8" t="n"/>
      <c r="R540" s="8" t="n"/>
      <c r="S540" s="8" t="n"/>
      <c r="T540" s="8" t="n"/>
      <c r="U540" s="8" t="n"/>
      <c r="V540" s="8" t="n"/>
      <c r="W540" s="8" t="n"/>
      <c r="X540" s="8" t="n"/>
      <c r="Y540" s="8" t="n"/>
      <c r="Z540" s="8" t="n"/>
      <c r="AA540" s="8" t="n"/>
      <c r="AB540" s="8" t="n"/>
      <c r="AC540" s="8" t="n"/>
      <c r="AD540" s="8" t="n"/>
      <c r="AE540" s="8" t="n"/>
      <c r="AF540" s="8" t="n"/>
      <c r="AG540" s="8" t="n"/>
      <c r="AH540" s="8" t="n"/>
      <c r="AI540" s="8" t="n"/>
      <c r="AJ540" s="8" t="n"/>
      <c r="AK540" s="8" t="n"/>
      <c r="AL540" s="8" t="n"/>
      <c r="AM540" s="8" t="n"/>
      <c r="AN540" s="8" t="n"/>
      <c r="AO540" s="8" t="n"/>
      <c r="AP540" s="8" t="n"/>
      <c r="AQ540" s="8" t="n"/>
      <c r="AR540" s="8" t="n"/>
      <c r="AS540" s="8" t="n"/>
      <c r="AT540" s="8" t="n"/>
      <c r="AU540" s="8" t="n"/>
      <c r="AV540" s="8" t="n"/>
      <c r="AW540" s="8" t="n"/>
      <c r="AX540" s="8" t="n"/>
      <c r="AY540" s="8" t="n"/>
      <c r="AZ540" s="8" t="n"/>
    </row>
    <row r="541" customFormat="1" s="12">
      <c r="D541" s="13" t="n"/>
      <c r="E541" s="8" t="n"/>
      <c r="F541" s="8" t="n"/>
      <c r="G541" s="8" t="n"/>
      <c r="H541" s="8" t="n"/>
      <c r="I541" s="8" t="n"/>
      <c r="J541" s="8" t="n"/>
      <c r="K541" s="8" t="n"/>
      <c r="L541" s="8" t="n"/>
      <c r="M541" s="8" t="n"/>
      <c r="N541" s="8" t="n"/>
      <c r="O541" s="8" t="n"/>
      <c r="P541" s="8" t="n"/>
      <c r="Q541" s="8" t="n"/>
      <c r="R541" s="8" t="n"/>
      <c r="S541" s="8" t="n"/>
      <c r="T541" s="8" t="n"/>
      <c r="U541" s="8" t="n"/>
      <c r="V541" s="8" t="n"/>
      <c r="W541" s="8" t="n"/>
      <c r="X541" s="8" t="n"/>
      <c r="Y541" s="8" t="n"/>
      <c r="Z541" s="8" t="n"/>
      <c r="AA541" s="8" t="n"/>
      <c r="AB541" s="8" t="n"/>
      <c r="AC541" s="8" t="n"/>
      <c r="AD541" s="8" t="n"/>
      <c r="AE541" s="8" t="n"/>
      <c r="AF541" s="8" t="n"/>
      <c r="AG541" s="8" t="n"/>
      <c r="AH541" s="8" t="n"/>
      <c r="AI541" s="8" t="n"/>
      <c r="AJ541" s="8" t="n"/>
      <c r="AK541" s="8" t="n"/>
      <c r="AL541" s="8" t="n"/>
      <c r="AM541" s="8" t="n"/>
      <c r="AN541" s="8" t="n"/>
      <c r="AO541" s="8" t="n"/>
      <c r="AP541" s="8" t="n"/>
      <c r="AQ541" s="8" t="n"/>
      <c r="AR541" s="8" t="n"/>
      <c r="AS541" s="8" t="n"/>
      <c r="AT541" s="8" t="n"/>
      <c r="AU541" s="8" t="n"/>
      <c r="AV541" s="8" t="n"/>
      <c r="AW541" s="8" t="n"/>
      <c r="AX541" s="8" t="n"/>
      <c r="AY541" s="8" t="n"/>
      <c r="AZ541" s="8" t="n"/>
    </row>
    <row r="542" customFormat="1" s="12">
      <c r="D542" s="13" t="n"/>
      <c r="E542" s="8" t="n"/>
      <c r="F542" s="8" t="n"/>
      <c r="G542" s="8" t="n"/>
      <c r="H542" s="8" t="n"/>
      <c r="I542" s="8" t="n"/>
      <c r="J542" s="8" t="n"/>
      <c r="K542" s="8" t="n"/>
      <c r="L542" s="8" t="n"/>
      <c r="M542" s="8" t="n"/>
      <c r="N542" s="8" t="n"/>
      <c r="O542" s="8" t="n"/>
      <c r="P542" s="8" t="n"/>
      <c r="Q542" s="8" t="n"/>
      <c r="R542" s="8" t="n"/>
      <c r="S542" s="8" t="n"/>
      <c r="T542" s="8" t="n"/>
      <c r="U542" s="8" t="n"/>
      <c r="V542" s="8" t="n"/>
      <c r="W542" s="8" t="n"/>
      <c r="X542" s="8" t="n"/>
      <c r="Y542" s="8" t="n"/>
      <c r="Z542" s="8" t="n"/>
      <c r="AA542" s="8" t="n"/>
      <c r="AB542" s="8" t="n"/>
      <c r="AC542" s="8" t="n"/>
      <c r="AD542" s="8" t="n"/>
      <c r="AE542" s="8" t="n"/>
      <c r="AF542" s="8" t="n"/>
      <c r="AG542" s="8" t="n"/>
      <c r="AH542" s="8" t="n"/>
      <c r="AI542" s="8" t="n"/>
      <c r="AJ542" s="8" t="n"/>
      <c r="AK542" s="8" t="n"/>
      <c r="AL542" s="8" t="n"/>
      <c r="AM542" s="8" t="n"/>
      <c r="AN542" s="8" t="n"/>
      <c r="AO542" s="8" t="n"/>
      <c r="AP542" s="8" t="n"/>
      <c r="AQ542" s="8" t="n"/>
      <c r="AR542" s="8" t="n"/>
      <c r="AS542" s="8" t="n"/>
      <c r="AT542" s="8" t="n"/>
      <c r="AU542" s="8" t="n"/>
      <c r="AV542" s="8" t="n"/>
      <c r="AW542" s="8" t="n"/>
      <c r="AX542" s="8" t="n"/>
      <c r="AY542" s="8" t="n"/>
      <c r="AZ542" s="8" t="n"/>
    </row>
    <row r="543" customFormat="1" s="12">
      <c r="D543" s="13" t="n"/>
      <c r="E543" s="8" t="n"/>
      <c r="F543" s="8" t="n"/>
      <c r="G543" s="8" t="n"/>
      <c r="H543" s="8" t="n"/>
      <c r="I543" s="8" t="n"/>
      <c r="J543" s="8" t="n"/>
      <c r="K543" s="8" t="n"/>
      <c r="L543" s="8" t="n"/>
      <c r="M543" s="8" t="n"/>
      <c r="N543" s="8" t="n"/>
      <c r="O543" s="8" t="n"/>
      <c r="P543" s="8" t="n"/>
      <c r="Q543" s="8" t="n"/>
      <c r="R543" s="8" t="n"/>
      <c r="S543" s="8" t="n"/>
      <c r="T543" s="8" t="n"/>
      <c r="U543" s="8" t="n"/>
      <c r="V543" s="8" t="n"/>
      <c r="W543" s="8" t="n"/>
      <c r="X543" s="8" t="n"/>
      <c r="Y543" s="8" t="n"/>
      <c r="Z543" s="8" t="n"/>
      <c r="AA543" s="8" t="n"/>
      <c r="AB543" s="8" t="n"/>
      <c r="AC543" s="8" t="n"/>
      <c r="AD543" s="8" t="n"/>
      <c r="AE543" s="8" t="n"/>
      <c r="AF543" s="8" t="n"/>
      <c r="AG543" s="8" t="n"/>
      <c r="AH543" s="8" t="n"/>
      <c r="AI543" s="8" t="n"/>
      <c r="AJ543" s="8" t="n"/>
      <c r="AK543" s="8" t="n"/>
      <c r="AL543" s="8" t="n"/>
      <c r="AM543" s="8" t="n"/>
      <c r="AN543" s="8" t="n"/>
      <c r="AO543" s="8" t="n"/>
      <c r="AP543" s="8" t="n"/>
      <c r="AQ543" s="8" t="n"/>
      <c r="AR543" s="8" t="n"/>
      <c r="AS543" s="8" t="n"/>
      <c r="AT543" s="8" t="n"/>
      <c r="AU543" s="8" t="n"/>
      <c r="AV543" s="8" t="n"/>
      <c r="AW543" s="8" t="n"/>
      <c r="AX543" s="8" t="n"/>
      <c r="AY543" s="8" t="n"/>
      <c r="AZ543" s="8" t="n"/>
    </row>
    <row r="544" customFormat="1" s="12">
      <c r="D544" s="13" t="n"/>
      <c r="E544" s="8" t="n"/>
      <c r="F544" s="8" t="n"/>
      <c r="G544" s="8" t="n"/>
      <c r="H544" s="8" t="n"/>
      <c r="I544" s="8" t="n"/>
      <c r="J544" s="8" t="n"/>
      <c r="K544" s="8" t="n"/>
      <c r="L544" s="8" t="n"/>
      <c r="M544" s="8" t="n"/>
      <c r="N544" s="8" t="n"/>
      <c r="O544" s="8" t="n"/>
      <c r="P544" s="8" t="n"/>
      <c r="Q544" s="8" t="n"/>
      <c r="R544" s="8" t="n"/>
      <c r="S544" s="8" t="n"/>
      <c r="T544" s="8" t="n"/>
      <c r="U544" s="8" t="n"/>
      <c r="V544" s="8" t="n"/>
      <c r="W544" s="8" t="n"/>
      <c r="X544" s="8" t="n"/>
      <c r="Y544" s="8" t="n"/>
      <c r="Z544" s="8" t="n"/>
      <c r="AA544" s="8" t="n"/>
      <c r="AB544" s="8" t="n"/>
      <c r="AC544" s="8" t="n"/>
      <c r="AD544" s="8" t="n"/>
      <c r="AE544" s="8" t="n"/>
      <c r="AF544" s="8" t="n"/>
      <c r="AG544" s="8" t="n"/>
      <c r="AH544" s="8" t="n"/>
      <c r="AI544" s="8" t="n"/>
      <c r="AJ544" s="8" t="n"/>
      <c r="AK544" s="8" t="n"/>
      <c r="AL544" s="8" t="n"/>
      <c r="AM544" s="8" t="n"/>
      <c r="AN544" s="8" t="n"/>
      <c r="AO544" s="8" t="n"/>
      <c r="AP544" s="8" t="n"/>
      <c r="AQ544" s="8" t="n"/>
      <c r="AR544" s="8" t="n"/>
      <c r="AS544" s="8" t="n"/>
      <c r="AT544" s="8" t="n"/>
      <c r="AU544" s="8" t="n"/>
      <c r="AV544" s="8" t="n"/>
      <c r="AW544" s="8" t="n"/>
      <c r="AX544" s="8" t="n"/>
      <c r="AY544" s="8" t="n"/>
      <c r="AZ544" s="8" t="n"/>
    </row>
    <row r="545" customFormat="1" s="12">
      <c r="D545" s="13" t="n"/>
      <c r="E545" s="8" t="n"/>
      <c r="F545" s="8" t="n"/>
      <c r="G545" s="8" t="n"/>
      <c r="H545" s="8" t="n"/>
      <c r="I545" s="8" t="n"/>
      <c r="J545" s="8" t="n"/>
      <c r="K545" s="8" t="n"/>
      <c r="L545" s="8" t="n"/>
      <c r="M545" s="8" t="n"/>
      <c r="N545" s="8" t="n"/>
      <c r="O545" s="8" t="n"/>
      <c r="P545" s="8" t="n"/>
      <c r="Q545" s="8" t="n"/>
      <c r="R545" s="8" t="n"/>
      <c r="S545" s="8" t="n"/>
      <c r="T545" s="8" t="n"/>
      <c r="U545" s="8" t="n"/>
      <c r="V545" s="8" t="n"/>
      <c r="W545" s="8" t="n"/>
      <c r="X545" s="8" t="n"/>
      <c r="Y545" s="8" t="n"/>
      <c r="Z545" s="8" t="n"/>
      <c r="AA545" s="8" t="n"/>
      <c r="AB545" s="8" t="n"/>
      <c r="AC545" s="8" t="n"/>
      <c r="AD545" s="8" t="n"/>
      <c r="AE545" s="8" t="n"/>
      <c r="AF545" s="8" t="n"/>
      <c r="AG545" s="8" t="n"/>
      <c r="AH545" s="8" t="n"/>
      <c r="AI545" s="8" t="n"/>
      <c r="AJ545" s="8" t="n"/>
      <c r="AK545" s="8" t="n"/>
      <c r="AL545" s="8" t="n"/>
      <c r="AM545" s="8" t="n"/>
      <c r="AN545" s="8" t="n"/>
      <c r="AO545" s="8" t="n"/>
      <c r="AP545" s="8" t="n"/>
      <c r="AQ545" s="8" t="n"/>
      <c r="AR545" s="8" t="n"/>
      <c r="AS545" s="8" t="n"/>
      <c r="AT545" s="8" t="n"/>
      <c r="AU545" s="8" t="n"/>
      <c r="AV545" s="8" t="n"/>
      <c r="AW545" s="8" t="n"/>
      <c r="AX545" s="8" t="n"/>
      <c r="AY545" s="8" t="n"/>
      <c r="AZ545" s="8" t="n"/>
    </row>
    <row r="546" customFormat="1" s="12">
      <c r="D546" s="13" t="n"/>
      <c r="E546" s="8" t="n"/>
      <c r="F546" s="8" t="n"/>
      <c r="G546" s="8" t="n"/>
      <c r="H546" s="8" t="n"/>
      <c r="I546" s="8" t="n"/>
      <c r="J546" s="8" t="n"/>
      <c r="K546" s="8" t="n"/>
      <c r="L546" s="8" t="n"/>
      <c r="M546" s="8" t="n"/>
      <c r="N546" s="8" t="n"/>
      <c r="O546" s="8" t="n"/>
      <c r="P546" s="8" t="n"/>
      <c r="Q546" s="8" t="n"/>
      <c r="R546" s="8" t="n"/>
      <c r="S546" s="8" t="n"/>
      <c r="T546" s="8" t="n"/>
      <c r="U546" s="8" t="n"/>
      <c r="V546" s="8" t="n"/>
      <c r="W546" s="8" t="n"/>
      <c r="X546" s="8" t="n"/>
      <c r="Y546" s="8" t="n"/>
      <c r="Z546" s="8" t="n"/>
      <c r="AA546" s="8" t="n"/>
      <c r="AB546" s="8" t="n"/>
      <c r="AC546" s="8" t="n"/>
      <c r="AD546" s="8" t="n"/>
      <c r="AE546" s="8" t="n"/>
      <c r="AF546" s="8" t="n"/>
      <c r="AG546" s="8" t="n"/>
      <c r="AH546" s="8" t="n"/>
      <c r="AI546" s="8" t="n"/>
      <c r="AJ546" s="8" t="n"/>
      <c r="AK546" s="8" t="n"/>
      <c r="AL546" s="8" t="n"/>
      <c r="AM546" s="8" t="n"/>
      <c r="AN546" s="8" t="n"/>
      <c r="AO546" s="8" t="n"/>
      <c r="AP546" s="8" t="n"/>
      <c r="AQ546" s="8" t="n"/>
      <c r="AR546" s="8" t="n"/>
      <c r="AS546" s="8" t="n"/>
      <c r="AT546" s="8" t="n"/>
      <c r="AU546" s="8" t="n"/>
      <c r="AV546" s="8" t="n"/>
      <c r="AW546" s="8" t="n"/>
      <c r="AX546" s="8" t="n"/>
      <c r="AY546" s="8" t="n"/>
      <c r="AZ546" s="8" t="n"/>
    </row>
    <row r="547" customFormat="1" s="12">
      <c r="D547" s="13" t="n"/>
      <c r="E547" s="8" t="n"/>
      <c r="F547" s="8" t="n"/>
      <c r="G547" s="8" t="n"/>
      <c r="H547" s="8" t="n"/>
      <c r="I547" s="8" t="n"/>
      <c r="J547" s="8" t="n"/>
      <c r="K547" s="8" t="n"/>
      <c r="L547" s="8" t="n"/>
      <c r="M547" s="8" t="n"/>
      <c r="N547" s="8" t="n"/>
      <c r="O547" s="8" t="n"/>
      <c r="P547" s="8" t="n"/>
      <c r="Q547" s="8" t="n"/>
      <c r="R547" s="8" t="n"/>
      <c r="S547" s="8" t="n"/>
      <c r="T547" s="8" t="n"/>
      <c r="U547" s="8" t="n"/>
      <c r="V547" s="8" t="n"/>
      <c r="W547" s="8" t="n"/>
      <c r="X547" s="8" t="n"/>
      <c r="Y547" s="8" t="n"/>
      <c r="Z547" s="8" t="n"/>
      <c r="AA547" s="8" t="n"/>
      <c r="AB547" s="8" t="n"/>
      <c r="AC547" s="8" t="n"/>
      <c r="AD547" s="8" t="n"/>
      <c r="AE547" s="8" t="n"/>
      <c r="AF547" s="8" t="n"/>
      <c r="AG547" s="8" t="n"/>
      <c r="AH547" s="8" t="n"/>
      <c r="AI547" s="8" t="n"/>
      <c r="AJ547" s="8" t="n"/>
      <c r="AK547" s="8" t="n"/>
      <c r="AL547" s="8" t="n"/>
      <c r="AM547" s="8" t="n"/>
      <c r="AN547" s="8" t="n"/>
      <c r="AO547" s="8" t="n"/>
      <c r="AP547" s="8" t="n"/>
      <c r="AQ547" s="8" t="n"/>
      <c r="AR547" s="8" t="n"/>
      <c r="AS547" s="8" t="n"/>
      <c r="AT547" s="8" t="n"/>
      <c r="AU547" s="8" t="n"/>
      <c r="AV547" s="8" t="n"/>
      <c r="AW547" s="8" t="n"/>
      <c r="AX547" s="8" t="n"/>
      <c r="AY547" s="8" t="n"/>
      <c r="AZ547" s="8" t="n"/>
    </row>
    <row r="548" customFormat="1" s="12">
      <c r="D548" s="13" t="n"/>
      <c r="E548" s="8" t="n"/>
      <c r="F548" s="8" t="n"/>
      <c r="G548" s="8" t="n"/>
      <c r="H548" s="8" t="n"/>
      <c r="I548" s="8" t="n"/>
      <c r="J548" s="8" t="n"/>
      <c r="K548" s="8" t="n"/>
      <c r="L548" s="8" t="n"/>
      <c r="M548" s="8" t="n"/>
      <c r="N548" s="8" t="n"/>
      <c r="O548" s="8" t="n"/>
      <c r="P548" s="8" t="n"/>
      <c r="Q548" s="8" t="n"/>
      <c r="R548" s="8" t="n"/>
      <c r="S548" s="8" t="n"/>
      <c r="T548" s="8" t="n"/>
      <c r="U548" s="8" t="n"/>
      <c r="V548" s="8" t="n"/>
      <c r="W548" s="8" t="n"/>
      <c r="X548" s="8" t="n"/>
      <c r="Y548" s="8" t="n"/>
      <c r="Z548" s="8" t="n"/>
      <c r="AA548" s="8" t="n"/>
      <c r="AB548" s="8" t="n"/>
      <c r="AC548" s="8" t="n"/>
      <c r="AD548" s="8" t="n"/>
      <c r="AE548" s="8" t="n"/>
      <c r="AF548" s="8" t="n"/>
      <c r="AG548" s="8" t="n"/>
      <c r="AH548" s="8" t="n"/>
      <c r="AI548" s="8" t="n"/>
      <c r="AJ548" s="8" t="n"/>
      <c r="AK548" s="8" t="n"/>
      <c r="AL548" s="8" t="n"/>
      <c r="AM548" s="8" t="n"/>
      <c r="AN548" s="8" t="n"/>
      <c r="AO548" s="8" t="n"/>
      <c r="AP548" s="8" t="n"/>
      <c r="AQ548" s="8" t="n"/>
      <c r="AR548" s="8" t="n"/>
      <c r="AS548" s="8" t="n"/>
      <c r="AT548" s="8" t="n"/>
      <c r="AU548" s="8" t="n"/>
      <c r="AV548" s="8" t="n"/>
      <c r="AW548" s="8" t="n"/>
      <c r="AX548" s="8" t="n"/>
      <c r="AY548" s="8" t="n"/>
      <c r="AZ548" s="8" t="n"/>
    </row>
    <row r="549" customFormat="1" s="12">
      <c r="D549" s="13" t="n"/>
      <c r="E549" s="8" t="n"/>
      <c r="F549" s="8" t="n"/>
      <c r="G549" s="8" t="n"/>
      <c r="H549" s="8" t="n"/>
      <c r="I549" s="8" t="n"/>
      <c r="J549" s="8" t="n"/>
      <c r="K549" s="8" t="n"/>
      <c r="L549" s="8" t="n"/>
      <c r="M549" s="8" t="n"/>
      <c r="N549" s="8" t="n"/>
      <c r="O549" s="8" t="n"/>
      <c r="P549" s="8" t="n"/>
      <c r="Q549" s="8" t="n"/>
      <c r="R549" s="8" t="n"/>
      <c r="S549" s="8" t="n"/>
      <c r="T549" s="8" t="n"/>
      <c r="U549" s="8" t="n"/>
      <c r="V549" s="8" t="n"/>
      <c r="W549" s="8" t="n"/>
      <c r="X549" s="8" t="n"/>
      <c r="Y549" s="8" t="n"/>
      <c r="Z549" s="8" t="n"/>
      <c r="AA549" s="8" t="n"/>
      <c r="AB549" s="8" t="n"/>
      <c r="AC549" s="8" t="n"/>
      <c r="AD549" s="8" t="n"/>
      <c r="AE549" s="8" t="n"/>
      <c r="AF549" s="8" t="n"/>
      <c r="AG549" s="8" t="n"/>
      <c r="AH549" s="8" t="n"/>
      <c r="AI549" s="8" t="n"/>
      <c r="AJ549" s="8" t="n"/>
      <c r="AK549" s="8" t="n"/>
      <c r="AL549" s="8" t="n"/>
      <c r="AM549" s="8" t="n"/>
      <c r="AN549" s="8" t="n"/>
      <c r="AO549" s="8" t="n"/>
      <c r="AP549" s="8" t="n"/>
      <c r="AQ549" s="8" t="n"/>
      <c r="AR549" s="8" t="n"/>
      <c r="AS549" s="8" t="n"/>
      <c r="AT549" s="8" t="n"/>
      <c r="AU549" s="8" t="n"/>
      <c r="AV549" s="8" t="n"/>
      <c r="AW549" s="8" t="n"/>
      <c r="AX549" s="8" t="n"/>
      <c r="AY549" s="8" t="n"/>
      <c r="AZ549" s="8" t="n"/>
    </row>
    <row r="550" customFormat="1" s="12">
      <c r="D550" s="13" t="n"/>
      <c r="E550" s="8" t="n"/>
      <c r="F550" s="8" t="n"/>
      <c r="G550" s="8" t="n"/>
      <c r="H550" s="8" t="n"/>
      <c r="I550" s="8" t="n"/>
      <c r="J550" s="8" t="n"/>
      <c r="K550" s="8" t="n"/>
      <c r="L550" s="8" t="n"/>
      <c r="M550" s="8" t="n"/>
      <c r="N550" s="8" t="n"/>
      <c r="O550" s="8" t="n"/>
      <c r="P550" s="8" t="n"/>
      <c r="Q550" s="8" t="n"/>
      <c r="R550" s="8" t="n"/>
      <c r="S550" s="8" t="n"/>
      <c r="T550" s="8" t="n"/>
      <c r="U550" s="8" t="n"/>
      <c r="V550" s="8" t="n"/>
      <c r="W550" s="8" t="n"/>
      <c r="X550" s="8" t="n"/>
      <c r="Y550" s="8" t="n"/>
      <c r="Z550" s="8" t="n"/>
      <c r="AA550" s="8" t="n"/>
      <c r="AB550" s="8" t="n"/>
      <c r="AC550" s="8" t="n"/>
      <c r="AD550" s="8" t="n"/>
      <c r="AE550" s="8" t="n"/>
      <c r="AF550" s="8" t="n"/>
      <c r="AG550" s="8" t="n"/>
      <c r="AH550" s="8" t="n"/>
      <c r="AI550" s="8" t="n"/>
      <c r="AJ550" s="8" t="n"/>
      <c r="AK550" s="8" t="n"/>
      <c r="AL550" s="8" t="n"/>
      <c r="AM550" s="8" t="n"/>
      <c r="AN550" s="8" t="n"/>
      <c r="AO550" s="8" t="n"/>
      <c r="AP550" s="8" t="n"/>
      <c r="AQ550" s="8" t="n"/>
      <c r="AR550" s="8" t="n"/>
      <c r="AS550" s="8" t="n"/>
      <c r="AT550" s="8" t="n"/>
      <c r="AU550" s="8" t="n"/>
      <c r="AV550" s="8" t="n"/>
      <c r="AW550" s="8" t="n"/>
      <c r="AX550" s="8" t="n"/>
      <c r="AY550" s="8" t="n"/>
      <c r="AZ550" s="8" t="n"/>
    </row>
    <row r="551" customFormat="1" s="12">
      <c r="D551" s="13" t="n"/>
      <c r="E551" s="8" t="n"/>
      <c r="F551" s="8" t="n"/>
      <c r="G551" s="8" t="n"/>
      <c r="H551" s="8" t="n"/>
      <c r="I551" s="8" t="n"/>
      <c r="J551" s="8" t="n"/>
      <c r="K551" s="8" t="n"/>
      <c r="L551" s="8" t="n"/>
      <c r="M551" s="8" t="n"/>
      <c r="N551" s="8" t="n"/>
      <c r="O551" s="8" t="n"/>
      <c r="P551" s="8" t="n"/>
      <c r="Q551" s="8" t="n"/>
      <c r="R551" s="8" t="n"/>
      <c r="S551" s="8" t="n"/>
      <c r="T551" s="8" t="n"/>
      <c r="U551" s="8" t="n"/>
      <c r="V551" s="8" t="n"/>
      <c r="W551" s="8" t="n"/>
      <c r="X551" s="8" t="n"/>
      <c r="Y551" s="8" t="n"/>
      <c r="Z551" s="8" t="n"/>
      <c r="AA551" s="8" t="n"/>
      <c r="AB551" s="8" t="n"/>
      <c r="AC551" s="8" t="n"/>
      <c r="AD551" s="8" t="n"/>
      <c r="AE551" s="8" t="n"/>
      <c r="AF551" s="8" t="n"/>
      <c r="AG551" s="8" t="n"/>
      <c r="AH551" s="8" t="n"/>
      <c r="AI551" s="8" t="n"/>
      <c r="AJ551" s="8" t="n"/>
      <c r="AK551" s="8" t="n"/>
      <c r="AL551" s="8" t="n"/>
      <c r="AM551" s="8" t="n"/>
      <c r="AN551" s="8" t="n"/>
      <c r="AO551" s="8" t="n"/>
      <c r="AP551" s="8" t="n"/>
      <c r="AQ551" s="8" t="n"/>
      <c r="AR551" s="8" t="n"/>
      <c r="AS551" s="8" t="n"/>
      <c r="AT551" s="8" t="n"/>
      <c r="AU551" s="8" t="n"/>
      <c r="AV551" s="8" t="n"/>
      <c r="AW551" s="8" t="n"/>
      <c r="AX551" s="8" t="n"/>
      <c r="AY551" s="8" t="n"/>
      <c r="AZ551" s="8" t="n"/>
    </row>
    <row r="552" customFormat="1" s="12">
      <c r="D552" s="13" t="n"/>
      <c r="E552" s="8" t="n"/>
      <c r="F552" s="8" t="n"/>
      <c r="G552" s="8" t="n"/>
      <c r="H552" s="8" t="n"/>
      <c r="I552" s="8" t="n"/>
      <c r="J552" s="8" t="n"/>
      <c r="K552" s="8" t="n"/>
      <c r="L552" s="8" t="n"/>
      <c r="M552" s="8" t="n"/>
      <c r="N552" s="8" t="n"/>
      <c r="O552" s="8" t="n"/>
      <c r="P552" s="8" t="n"/>
      <c r="Q552" s="8" t="n"/>
      <c r="R552" s="8" t="n"/>
      <c r="S552" s="8" t="n"/>
      <c r="T552" s="8" t="n"/>
      <c r="U552" s="8" t="n"/>
      <c r="V552" s="8" t="n"/>
      <c r="W552" s="8" t="n"/>
      <c r="X552" s="8" t="n"/>
      <c r="Y552" s="8" t="n"/>
      <c r="Z552" s="8" t="n"/>
      <c r="AA552" s="8" t="n"/>
      <c r="AB552" s="8" t="n"/>
      <c r="AC552" s="8" t="n"/>
      <c r="AD552" s="8" t="n"/>
      <c r="AE552" s="8" t="n"/>
      <c r="AF552" s="8" t="n"/>
      <c r="AG552" s="8" t="n"/>
      <c r="AH552" s="8" t="n"/>
      <c r="AI552" s="8" t="n"/>
      <c r="AJ552" s="8" t="n"/>
      <c r="AK552" s="8" t="n"/>
      <c r="AL552" s="8" t="n"/>
      <c r="AM552" s="8" t="n"/>
      <c r="AN552" s="8" t="n"/>
      <c r="AO552" s="8" t="n"/>
      <c r="AP552" s="8" t="n"/>
      <c r="AQ552" s="8" t="n"/>
      <c r="AR552" s="8" t="n"/>
      <c r="AS552" s="8" t="n"/>
      <c r="AT552" s="8" t="n"/>
      <c r="AU552" s="8" t="n"/>
      <c r="AV552" s="8" t="n"/>
      <c r="AW552" s="8" t="n"/>
      <c r="AX552" s="8" t="n"/>
      <c r="AY552" s="8" t="n"/>
      <c r="AZ552" s="8" t="n"/>
    </row>
    <row r="553" customFormat="1" s="12">
      <c r="D553" s="13" t="n"/>
      <c r="E553" s="8" t="n"/>
      <c r="F553" s="8" t="n"/>
      <c r="G553" s="8" t="n"/>
      <c r="H553" s="8" t="n"/>
      <c r="I553" s="8" t="n"/>
      <c r="J553" s="8" t="n"/>
      <c r="K553" s="8" t="n"/>
      <c r="L553" s="8" t="n"/>
      <c r="M553" s="8" t="n"/>
      <c r="N553" s="8" t="n"/>
      <c r="O553" s="8" t="n"/>
      <c r="P553" s="8" t="n"/>
      <c r="Q553" s="8" t="n"/>
      <c r="R553" s="8" t="n"/>
      <c r="S553" s="8" t="n"/>
      <c r="T553" s="8" t="n"/>
      <c r="U553" s="8" t="n"/>
      <c r="V553" s="8" t="n"/>
      <c r="W553" s="8" t="n"/>
      <c r="X553" s="8" t="n"/>
      <c r="Y553" s="8" t="n"/>
      <c r="Z553" s="8" t="n"/>
      <c r="AA553" s="8" t="n"/>
      <c r="AB553" s="8" t="n"/>
      <c r="AC553" s="8" t="n"/>
      <c r="AD553" s="8" t="n"/>
      <c r="AE553" s="8" t="n"/>
      <c r="AF553" s="8" t="n"/>
      <c r="AG553" s="8" t="n"/>
      <c r="AH553" s="8" t="n"/>
      <c r="AI553" s="8" t="n"/>
      <c r="AJ553" s="8" t="n"/>
      <c r="AK553" s="8" t="n"/>
      <c r="AL553" s="8" t="n"/>
      <c r="AM553" s="8" t="n"/>
      <c r="AN553" s="8" t="n"/>
      <c r="AO553" s="8" t="n"/>
      <c r="AP553" s="8" t="n"/>
      <c r="AQ553" s="8" t="n"/>
      <c r="AR553" s="8" t="n"/>
      <c r="AS553" s="8" t="n"/>
      <c r="AT553" s="8" t="n"/>
      <c r="AU553" s="8" t="n"/>
      <c r="AV553" s="8" t="n"/>
      <c r="AW553" s="8" t="n"/>
      <c r="AX553" s="8" t="n"/>
      <c r="AY553" s="8" t="n"/>
      <c r="AZ553" s="8" t="n"/>
    </row>
    <row r="554" customFormat="1" s="12">
      <c r="D554" s="13" t="n"/>
      <c r="E554" s="8" t="n"/>
      <c r="F554" s="8" t="n"/>
      <c r="G554" s="8" t="n"/>
      <c r="H554" s="8" t="n"/>
      <c r="I554" s="8" t="n"/>
      <c r="J554" s="8" t="n"/>
      <c r="K554" s="8" t="n"/>
      <c r="L554" s="8" t="n"/>
      <c r="M554" s="8" t="n"/>
      <c r="N554" s="8" t="n"/>
      <c r="O554" s="8" t="n"/>
      <c r="P554" s="8" t="n"/>
      <c r="Q554" s="8" t="n"/>
      <c r="R554" s="8" t="n"/>
      <c r="S554" s="8" t="n"/>
      <c r="T554" s="8" t="n"/>
      <c r="U554" s="8" t="n"/>
      <c r="V554" s="8" t="n"/>
      <c r="W554" s="8" t="n"/>
      <c r="X554" s="8" t="n"/>
      <c r="Y554" s="8" t="n"/>
      <c r="Z554" s="8" t="n"/>
      <c r="AA554" s="8" t="n"/>
      <c r="AB554" s="8" t="n"/>
      <c r="AC554" s="8" t="n"/>
      <c r="AD554" s="8" t="n"/>
      <c r="AE554" s="8" t="n"/>
      <c r="AF554" s="8" t="n"/>
      <c r="AG554" s="8" t="n"/>
      <c r="AH554" s="8" t="n"/>
      <c r="AI554" s="8" t="n"/>
      <c r="AJ554" s="8" t="n"/>
      <c r="AK554" s="8" t="n"/>
      <c r="AL554" s="8" t="n"/>
      <c r="AM554" s="8" t="n"/>
      <c r="AN554" s="8" t="n"/>
      <c r="AO554" s="8" t="n"/>
      <c r="AP554" s="8" t="n"/>
      <c r="AQ554" s="8" t="n"/>
      <c r="AR554" s="8" t="n"/>
      <c r="AS554" s="8" t="n"/>
      <c r="AT554" s="8" t="n"/>
      <c r="AU554" s="8" t="n"/>
      <c r="AV554" s="8" t="n"/>
      <c r="AW554" s="8" t="n"/>
      <c r="AX554" s="8" t="n"/>
      <c r="AY554" s="8" t="n"/>
      <c r="AZ554" s="8" t="n"/>
    </row>
    <row r="555" customFormat="1" s="12">
      <c r="D555" s="13" t="n"/>
      <c r="E555" s="8" t="n"/>
      <c r="F555" s="8" t="n"/>
      <c r="G555" s="8" t="n"/>
      <c r="H555" s="8" t="n"/>
      <c r="I555" s="8" t="n"/>
      <c r="J555" s="8" t="n"/>
      <c r="K555" s="8" t="n"/>
      <c r="L555" s="8" t="n"/>
      <c r="M555" s="8" t="n"/>
      <c r="N555" s="8" t="n"/>
      <c r="O555" s="8" t="n"/>
      <c r="P555" s="8" t="n"/>
      <c r="Q555" s="8" t="n"/>
      <c r="R555" s="8" t="n"/>
      <c r="S555" s="8" t="n"/>
      <c r="T555" s="8" t="n"/>
      <c r="U555" s="8" t="n"/>
      <c r="V555" s="8" t="n"/>
      <c r="W555" s="8" t="n"/>
      <c r="X555" s="8" t="n"/>
      <c r="Y555" s="8" t="n"/>
      <c r="Z555" s="8" t="n"/>
      <c r="AA555" s="8" t="n"/>
      <c r="AB555" s="8" t="n"/>
      <c r="AC555" s="8" t="n"/>
      <c r="AD555" s="8" t="n"/>
      <c r="AE555" s="8" t="n"/>
      <c r="AF555" s="8" t="n"/>
      <c r="AG555" s="8" t="n"/>
      <c r="AH555" s="8" t="n"/>
      <c r="AI555" s="8" t="n"/>
      <c r="AJ555" s="8" t="n"/>
      <c r="AK555" s="8" t="n"/>
      <c r="AL555" s="8" t="n"/>
      <c r="AM555" s="8" t="n"/>
      <c r="AN555" s="8" t="n"/>
      <c r="AO555" s="8" t="n"/>
      <c r="AP555" s="8" t="n"/>
      <c r="AQ555" s="8" t="n"/>
      <c r="AR555" s="8" t="n"/>
      <c r="AS555" s="8" t="n"/>
      <c r="AT555" s="8" t="n"/>
      <c r="AU555" s="8" t="n"/>
      <c r="AV555" s="8" t="n"/>
      <c r="AW555" s="8" t="n"/>
      <c r="AX555" s="8" t="n"/>
      <c r="AY555" s="8" t="n"/>
      <c r="AZ555" s="8" t="n"/>
    </row>
    <row r="556" customFormat="1" s="12">
      <c r="D556" s="13" t="n"/>
      <c r="E556" s="8" t="n"/>
      <c r="F556" s="8" t="n"/>
      <c r="G556" s="8" t="n"/>
      <c r="H556" s="8" t="n"/>
      <c r="I556" s="8" t="n"/>
      <c r="J556" s="8" t="n"/>
      <c r="K556" s="8" t="n"/>
      <c r="L556" s="8" t="n"/>
      <c r="M556" s="8" t="n"/>
      <c r="N556" s="8" t="n"/>
      <c r="O556" s="8" t="n"/>
      <c r="P556" s="8" t="n"/>
      <c r="Q556" s="8" t="n"/>
      <c r="R556" s="8" t="n"/>
      <c r="S556" s="8" t="n"/>
      <c r="T556" s="8" t="n"/>
      <c r="U556" s="8" t="n"/>
      <c r="V556" s="8" t="n"/>
      <c r="W556" s="8" t="n"/>
      <c r="X556" s="8" t="n"/>
      <c r="Y556" s="8" t="n"/>
      <c r="Z556" s="8" t="n"/>
      <c r="AA556" s="8" t="n"/>
      <c r="AB556" s="8" t="n"/>
      <c r="AC556" s="8" t="n"/>
      <c r="AD556" s="8" t="n"/>
      <c r="AE556" s="8" t="n"/>
      <c r="AF556" s="8" t="n"/>
      <c r="AG556" s="8" t="n"/>
      <c r="AH556" s="8" t="n"/>
      <c r="AI556" s="8" t="n"/>
      <c r="AJ556" s="8" t="n"/>
      <c r="AK556" s="8" t="n"/>
      <c r="AL556" s="8" t="n"/>
      <c r="AM556" s="8" t="n"/>
      <c r="AN556" s="8" t="n"/>
      <c r="AO556" s="8" t="n"/>
      <c r="AP556" s="8" t="n"/>
      <c r="AQ556" s="8" t="n"/>
      <c r="AR556" s="8" t="n"/>
      <c r="AS556" s="8" t="n"/>
      <c r="AT556" s="8" t="n"/>
      <c r="AU556" s="8" t="n"/>
      <c r="AV556" s="8" t="n"/>
      <c r="AW556" s="8" t="n"/>
      <c r="AX556" s="8" t="n"/>
      <c r="AY556" s="8" t="n"/>
      <c r="AZ556" s="8" t="n"/>
    </row>
    <row r="557" customFormat="1" s="12">
      <c r="D557" s="13" t="n"/>
      <c r="E557" s="8" t="n"/>
      <c r="F557" s="8" t="n"/>
      <c r="G557" s="8" t="n"/>
      <c r="H557" s="8" t="n"/>
      <c r="I557" s="8" t="n"/>
      <c r="J557" s="8" t="n"/>
      <c r="K557" s="8" t="n"/>
      <c r="L557" s="8" t="n"/>
      <c r="M557" s="8" t="n"/>
      <c r="N557" s="8" t="n"/>
      <c r="O557" s="8" t="n"/>
      <c r="P557" s="8" t="n"/>
      <c r="Q557" s="8" t="n"/>
      <c r="R557" s="8" t="n"/>
      <c r="S557" s="8" t="n"/>
      <c r="T557" s="8" t="n"/>
      <c r="U557" s="8" t="n"/>
      <c r="V557" s="8" t="n"/>
      <c r="W557" s="8" t="n"/>
      <c r="X557" s="8" t="n"/>
      <c r="Y557" s="8" t="n"/>
      <c r="Z557" s="8" t="n"/>
      <c r="AA557" s="8" t="n"/>
      <c r="AB557" s="8" t="n"/>
      <c r="AC557" s="8" t="n"/>
      <c r="AD557" s="8" t="n"/>
      <c r="AE557" s="8" t="n"/>
      <c r="AF557" s="8" t="n"/>
      <c r="AG557" s="8" t="n"/>
      <c r="AH557" s="8" t="n"/>
      <c r="AI557" s="8" t="n"/>
      <c r="AJ557" s="8" t="n"/>
      <c r="AK557" s="8" t="n"/>
      <c r="AL557" s="8" t="n"/>
      <c r="AM557" s="8" t="n"/>
      <c r="AN557" s="8" t="n"/>
      <c r="AO557" s="8" t="n"/>
      <c r="AP557" s="8" t="n"/>
      <c r="AQ557" s="8" t="n"/>
      <c r="AR557" s="8" t="n"/>
      <c r="AS557" s="8" t="n"/>
      <c r="AT557" s="8" t="n"/>
      <c r="AU557" s="8" t="n"/>
      <c r="AV557" s="8" t="n"/>
      <c r="AW557" s="8" t="n"/>
      <c r="AX557" s="8" t="n"/>
      <c r="AY557" s="8" t="n"/>
      <c r="AZ557" s="8" t="n"/>
    </row>
    <row r="558" customFormat="1" s="12">
      <c r="D558" s="13" t="n"/>
      <c r="E558" s="8" t="n"/>
      <c r="F558" s="8" t="n"/>
      <c r="G558" s="8" t="n"/>
      <c r="H558" s="8" t="n"/>
      <c r="I558" s="8" t="n"/>
      <c r="J558" s="8" t="n"/>
      <c r="K558" s="8" t="n"/>
      <c r="L558" s="8" t="n"/>
      <c r="M558" s="8" t="n"/>
      <c r="N558" s="8" t="n"/>
      <c r="O558" s="8" t="n"/>
      <c r="P558" s="8" t="n"/>
      <c r="Q558" s="8" t="n"/>
      <c r="R558" s="8" t="n"/>
      <c r="S558" s="8" t="n"/>
      <c r="T558" s="8" t="n"/>
      <c r="U558" s="8" t="n"/>
      <c r="V558" s="8" t="n"/>
      <c r="W558" s="8" t="n"/>
      <c r="X558" s="8" t="n"/>
      <c r="Y558" s="8" t="n"/>
      <c r="Z558" s="8" t="n"/>
      <c r="AA558" s="8" t="n"/>
      <c r="AB558" s="8" t="n"/>
      <c r="AC558" s="8" t="n"/>
      <c r="AD558" s="8" t="n"/>
      <c r="AE558" s="8" t="n"/>
      <c r="AF558" s="8" t="n"/>
      <c r="AG558" s="8" t="n"/>
      <c r="AH558" s="8" t="n"/>
      <c r="AI558" s="8" t="n"/>
      <c r="AJ558" s="8" t="n"/>
      <c r="AK558" s="8" t="n"/>
      <c r="AL558" s="8" t="n"/>
      <c r="AM558" s="8" t="n"/>
      <c r="AN558" s="8" t="n"/>
      <c r="AO558" s="8" t="n"/>
      <c r="AP558" s="8" t="n"/>
      <c r="AQ558" s="8" t="n"/>
      <c r="AR558" s="8" t="n"/>
      <c r="AS558" s="8" t="n"/>
      <c r="AT558" s="8" t="n"/>
      <c r="AU558" s="8" t="n"/>
      <c r="AV558" s="8" t="n"/>
      <c r="AW558" s="8" t="n"/>
      <c r="AX558" s="8" t="n"/>
      <c r="AY558" s="8" t="n"/>
      <c r="AZ558" s="8" t="n"/>
    </row>
    <row r="559" customFormat="1" s="12">
      <c r="D559" s="13" t="n"/>
      <c r="E559" s="8" t="n"/>
      <c r="F559" s="8" t="n"/>
      <c r="G559" s="8" t="n"/>
      <c r="H559" s="8" t="n"/>
      <c r="I559" s="8" t="n"/>
      <c r="J559" s="8" t="n"/>
      <c r="K559" s="8" t="n"/>
      <c r="L559" s="8" t="n"/>
      <c r="M559" s="8" t="n"/>
      <c r="N559" s="8" t="n"/>
      <c r="O559" s="8" t="n"/>
      <c r="P559" s="8" t="n"/>
      <c r="Q559" s="8" t="n"/>
      <c r="R559" s="8" t="n"/>
      <c r="S559" s="8" t="n"/>
      <c r="T559" s="8" t="n"/>
      <c r="U559" s="8" t="n"/>
      <c r="V559" s="8" t="n"/>
      <c r="W559" s="8" t="n"/>
      <c r="X559" s="8" t="n"/>
      <c r="Y559" s="8" t="n"/>
      <c r="Z559" s="8" t="n"/>
      <c r="AA559" s="8" t="n"/>
      <c r="AB559" s="8" t="n"/>
      <c r="AC559" s="8" t="n"/>
      <c r="AD559" s="8" t="n"/>
      <c r="AE559" s="8" t="n"/>
      <c r="AF559" s="8" t="n"/>
      <c r="AG559" s="8" t="n"/>
      <c r="AH559" s="8" t="n"/>
      <c r="AI559" s="8" t="n"/>
      <c r="AJ559" s="8" t="n"/>
      <c r="AK559" s="8" t="n"/>
      <c r="AL559" s="8" t="n"/>
      <c r="AM559" s="8" t="n"/>
      <c r="AN559" s="8" t="n"/>
      <c r="AO559" s="8" t="n"/>
      <c r="AP559" s="8" t="n"/>
      <c r="AQ559" s="8" t="n"/>
      <c r="AR559" s="8" t="n"/>
      <c r="AS559" s="8" t="n"/>
      <c r="AT559" s="8" t="n"/>
      <c r="AU559" s="8" t="n"/>
      <c r="AV559" s="8" t="n"/>
      <c r="AW559" s="8" t="n"/>
      <c r="AX559" s="8" t="n"/>
      <c r="AY559" s="8" t="n"/>
      <c r="AZ559" s="8" t="n"/>
    </row>
    <row r="560" customFormat="1" s="12">
      <c r="D560" s="13" t="n"/>
      <c r="E560" s="8" t="n"/>
      <c r="F560" s="8" t="n"/>
      <c r="G560" s="8" t="n"/>
      <c r="H560" s="8" t="n"/>
      <c r="I560" s="8" t="n"/>
      <c r="J560" s="8" t="n"/>
      <c r="K560" s="8" t="n"/>
      <c r="L560" s="8" t="n"/>
      <c r="M560" s="8" t="n"/>
      <c r="N560" s="8" t="n"/>
      <c r="O560" s="8" t="n"/>
      <c r="P560" s="8" t="n"/>
      <c r="Q560" s="8" t="n"/>
      <c r="R560" s="8" t="n"/>
      <c r="S560" s="8" t="n"/>
      <c r="T560" s="8" t="n"/>
      <c r="U560" s="8" t="n"/>
      <c r="V560" s="8" t="n"/>
      <c r="W560" s="8" t="n"/>
      <c r="X560" s="8" t="n"/>
      <c r="Y560" s="8" t="n"/>
      <c r="Z560" s="8" t="n"/>
      <c r="AA560" s="8" t="n"/>
      <c r="AB560" s="8" t="n"/>
      <c r="AC560" s="8" t="n"/>
      <c r="AD560" s="8" t="n"/>
      <c r="AE560" s="8" t="n"/>
      <c r="AF560" s="8" t="n"/>
      <c r="AG560" s="8" t="n"/>
      <c r="AH560" s="8" t="n"/>
      <c r="AI560" s="8" t="n"/>
      <c r="AJ560" s="8" t="n"/>
      <c r="AK560" s="8" t="n"/>
      <c r="AL560" s="8" t="n"/>
      <c r="AM560" s="8" t="n"/>
      <c r="AN560" s="8" t="n"/>
      <c r="AO560" s="8" t="n"/>
      <c r="AP560" s="8" t="n"/>
      <c r="AQ560" s="8" t="n"/>
      <c r="AR560" s="8" t="n"/>
      <c r="AS560" s="8" t="n"/>
      <c r="AT560" s="8" t="n"/>
      <c r="AU560" s="8" t="n"/>
      <c r="AV560" s="8" t="n"/>
      <c r="AW560" s="8" t="n"/>
      <c r="AX560" s="8" t="n"/>
      <c r="AY560" s="8" t="n"/>
      <c r="AZ560" s="8" t="n"/>
    </row>
    <row r="561" customFormat="1" s="12">
      <c r="D561" s="13" t="n"/>
      <c r="E561" s="8" t="n"/>
      <c r="F561" s="8" t="n"/>
      <c r="G561" s="8" t="n"/>
      <c r="H561" s="8" t="n"/>
      <c r="I561" s="8" t="n"/>
      <c r="J561" s="8" t="n"/>
      <c r="K561" s="8" t="n"/>
      <c r="L561" s="8" t="n"/>
      <c r="M561" s="8" t="n"/>
      <c r="N561" s="8" t="n"/>
      <c r="O561" s="8" t="n"/>
      <c r="P561" s="8" t="n"/>
      <c r="Q561" s="8" t="n"/>
      <c r="R561" s="8" t="n"/>
      <c r="S561" s="8" t="n"/>
      <c r="T561" s="8" t="n"/>
      <c r="U561" s="8" t="n"/>
      <c r="V561" s="8" t="n"/>
      <c r="W561" s="8" t="n"/>
      <c r="X561" s="8" t="n"/>
      <c r="Y561" s="8" t="n"/>
      <c r="Z561" s="8" t="n"/>
      <c r="AA561" s="8" t="n"/>
      <c r="AB561" s="8" t="n"/>
      <c r="AC561" s="8" t="n"/>
      <c r="AD561" s="8" t="n"/>
      <c r="AE561" s="8" t="n"/>
      <c r="AF561" s="8" t="n"/>
      <c r="AG561" s="8" t="n"/>
      <c r="AH561" s="8" t="n"/>
      <c r="AI561" s="8" t="n"/>
      <c r="AJ561" s="8" t="n"/>
      <c r="AK561" s="8" t="n"/>
      <c r="AL561" s="8" t="n"/>
      <c r="AM561" s="8" t="n"/>
      <c r="AN561" s="8" t="n"/>
      <c r="AO561" s="8" t="n"/>
      <c r="AP561" s="8" t="n"/>
      <c r="AQ561" s="8" t="n"/>
      <c r="AR561" s="8" t="n"/>
      <c r="AS561" s="8" t="n"/>
      <c r="AT561" s="8" t="n"/>
      <c r="AU561" s="8" t="n"/>
      <c r="AV561" s="8" t="n"/>
      <c r="AW561" s="8" t="n"/>
      <c r="AX561" s="8" t="n"/>
      <c r="AY561" s="8" t="n"/>
      <c r="AZ561" s="8" t="n"/>
    </row>
    <row r="562" customFormat="1" s="12">
      <c r="D562" s="13" t="n"/>
      <c r="E562" s="8" t="n"/>
      <c r="F562" s="8" t="n"/>
      <c r="G562" s="8" t="n"/>
      <c r="H562" s="8" t="n"/>
      <c r="I562" s="8" t="n"/>
      <c r="J562" s="8" t="n"/>
      <c r="K562" s="8" t="n"/>
      <c r="L562" s="8" t="n"/>
      <c r="M562" s="8" t="n"/>
      <c r="N562" s="8" t="n"/>
      <c r="O562" s="8" t="n"/>
      <c r="P562" s="8" t="n"/>
      <c r="Q562" s="8" t="n"/>
      <c r="R562" s="8" t="n"/>
      <c r="S562" s="8" t="n"/>
      <c r="T562" s="8" t="n"/>
      <c r="U562" s="8" t="n"/>
      <c r="V562" s="8" t="n"/>
      <c r="W562" s="8" t="n"/>
      <c r="X562" s="8" t="n"/>
      <c r="Y562" s="8" t="n"/>
      <c r="Z562" s="8" t="n"/>
      <c r="AA562" s="8" t="n"/>
      <c r="AB562" s="8" t="n"/>
      <c r="AC562" s="8" t="n"/>
      <c r="AD562" s="8" t="n"/>
      <c r="AE562" s="8" t="n"/>
      <c r="AF562" s="8" t="n"/>
      <c r="AG562" s="8" t="n"/>
      <c r="AH562" s="8" t="n"/>
      <c r="AI562" s="8" t="n"/>
      <c r="AJ562" s="8" t="n"/>
      <c r="AK562" s="8" t="n"/>
      <c r="AL562" s="8" t="n"/>
      <c r="AM562" s="8" t="n"/>
      <c r="AN562" s="8" t="n"/>
      <c r="AO562" s="8" t="n"/>
      <c r="AP562" s="8" t="n"/>
      <c r="AQ562" s="8" t="n"/>
      <c r="AR562" s="8" t="n"/>
      <c r="AS562" s="8" t="n"/>
      <c r="AT562" s="8" t="n"/>
      <c r="AU562" s="8" t="n"/>
      <c r="AV562" s="8" t="n"/>
      <c r="AW562" s="8" t="n"/>
      <c r="AX562" s="8" t="n"/>
      <c r="AY562" s="8" t="n"/>
      <c r="AZ562" s="8" t="n"/>
    </row>
    <row r="563" customFormat="1" s="12">
      <c r="D563" s="13" t="n"/>
      <c r="E563" s="8" t="n"/>
      <c r="F563" s="8" t="n"/>
      <c r="G563" s="8" t="n"/>
      <c r="H563" s="8" t="n"/>
      <c r="I563" s="8" t="n"/>
      <c r="J563" s="8" t="n"/>
      <c r="K563" s="8" t="n"/>
      <c r="L563" s="8" t="n"/>
      <c r="M563" s="8" t="n"/>
      <c r="N563" s="8" t="n"/>
      <c r="O563" s="8" t="n"/>
      <c r="P563" s="8" t="n"/>
      <c r="Q563" s="8" t="n"/>
      <c r="R563" s="8" t="n"/>
      <c r="S563" s="8" t="n"/>
      <c r="T563" s="8" t="n"/>
      <c r="U563" s="8" t="n"/>
      <c r="V563" s="8" t="n"/>
      <c r="W563" s="8" t="n"/>
      <c r="X563" s="8" t="n"/>
      <c r="Y563" s="8" t="n"/>
      <c r="Z563" s="8" t="n"/>
      <c r="AA563" s="8" t="n"/>
      <c r="AB563" s="8" t="n"/>
      <c r="AC563" s="8" t="n"/>
      <c r="AD563" s="8" t="n"/>
      <c r="AE563" s="8" t="n"/>
      <c r="AF563" s="8" t="n"/>
      <c r="AG563" s="8" t="n"/>
      <c r="AH563" s="8" t="n"/>
      <c r="AI563" s="8" t="n"/>
      <c r="AJ563" s="8" t="n"/>
      <c r="AK563" s="8" t="n"/>
      <c r="AL563" s="8" t="n"/>
      <c r="AM563" s="8" t="n"/>
      <c r="AN563" s="8" t="n"/>
      <c r="AO563" s="8" t="n"/>
      <c r="AP563" s="8" t="n"/>
      <c r="AQ563" s="8" t="n"/>
      <c r="AR563" s="8" t="n"/>
      <c r="AS563" s="8" t="n"/>
      <c r="AT563" s="8" t="n"/>
      <c r="AU563" s="8" t="n"/>
      <c r="AV563" s="8" t="n"/>
      <c r="AW563" s="8" t="n"/>
      <c r="AX563" s="8" t="n"/>
      <c r="AY563" s="8" t="n"/>
      <c r="AZ563" s="8" t="n"/>
    </row>
    <row r="564" customFormat="1" s="12">
      <c r="D564" s="13" t="n"/>
      <c r="E564" s="8" t="n"/>
      <c r="F564" s="8" t="n"/>
      <c r="G564" s="8" t="n"/>
      <c r="H564" s="8" t="n"/>
      <c r="I564" s="8" t="n"/>
      <c r="J564" s="8" t="n"/>
      <c r="K564" s="8" t="n"/>
      <c r="L564" s="8" t="n"/>
      <c r="M564" s="8" t="n"/>
      <c r="N564" s="8" t="n"/>
      <c r="O564" s="8" t="n"/>
      <c r="P564" s="8" t="n"/>
      <c r="Q564" s="8" t="n"/>
      <c r="R564" s="8" t="n"/>
      <c r="S564" s="8" t="n"/>
      <c r="T564" s="8" t="n"/>
      <c r="U564" s="8" t="n"/>
      <c r="V564" s="8" t="n"/>
      <c r="W564" s="8" t="n"/>
      <c r="X564" s="8" t="n"/>
      <c r="Y564" s="8" t="n"/>
      <c r="Z564" s="8" t="n"/>
      <c r="AA564" s="8" t="n"/>
      <c r="AB564" s="8" t="n"/>
      <c r="AC564" s="8" t="n"/>
      <c r="AD564" s="8" t="n"/>
      <c r="AE564" s="8" t="n"/>
      <c r="AF564" s="8" t="n"/>
      <c r="AG564" s="8" t="n"/>
      <c r="AH564" s="8" t="n"/>
      <c r="AI564" s="8" t="n"/>
      <c r="AJ564" s="8" t="n"/>
      <c r="AK564" s="8" t="n"/>
      <c r="AL564" s="8" t="n"/>
      <c r="AM564" s="8" t="n"/>
      <c r="AN564" s="8" t="n"/>
      <c r="AO564" s="8" t="n"/>
      <c r="AP564" s="8" t="n"/>
      <c r="AQ564" s="8" t="n"/>
      <c r="AR564" s="8" t="n"/>
      <c r="AS564" s="8" t="n"/>
      <c r="AT564" s="8" t="n"/>
      <c r="AU564" s="8" t="n"/>
      <c r="AV564" s="8" t="n"/>
      <c r="AW564" s="8" t="n"/>
      <c r="AX564" s="8" t="n"/>
      <c r="AY564" s="8" t="n"/>
      <c r="AZ564" s="8" t="n"/>
    </row>
    <row r="565" customFormat="1" s="12">
      <c r="D565" s="13" t="n"/>
      <c r="E565" s="8" t="n"/>
      <c r="F565" s="8" t="n"/>
      <c r="G565" s="8" t="n"/>
      <c r="H565" s="8" t="n"/>
      <c r="I565" s="8" t="n"/>
      <c r="J565" s="8" t="n"/>
      <c r="K565" s="8" t="n"/>
      <c r="L565" s="8" t="n"/>
      <c r="M565" s="8" t="n"/>
      <c r="N565" s="8" t="n"/>
      <c r="O565" s="8" t="n"/>
      <c r="P565" s="8" t="n"/>
      <c r="Q565" s="8" t="n"/>
      <c r="R565" s="8" t="n"/>
      <c r="S565" s="8" t="n"/>
      <c r="T565" s="8" t="n"/>
      <c r="U565" s="8" t="n"/>
      <c r="V565" s="8" t="n"/>
      <c r="W565" s="8" t="n"/>
      <c r="X565" s="8" t="n"/>
      <c r="Y565" s="8" t="n"/>
      <c r="Z565" s="8" t="n"/>
      <c r="AA565" s="8" t="n"/>
      <c r="AB565" s="8" t="n"/>
      <c r="AC565" s="8" t="n"/>
      <c r="AD565" s="8" t="n"/>
      <c r="AE565" s="8" t="n"/>
      <c r="AF565" s="8" t="n"/>
      <c r="AG565" s="8" t="n"/>
      <c r="AH565" s="8" t="n"/>
      <c r="AI565" s="8" t="n"/>
      <c r="AJ565" s="8" t="n"/>
      <c r="AK565" s="8" t="n"/>
      <c r="AL565" s="8" t="n"/>
      <c r="AM565" s="8" t="n"/>
      <c r="AN565" s="8" t="n"/>
      <c r="AO565" s="8" t="n"/>
      <c r="AP565" s="8" t="n"/>
      <c r="AQ565" s="8" t="n"/>
      <c r="AR565" s="8" t="n"/>
      <c r="AS565" s="8" t="n"/>
      <c r="AT565" s="8" t="n"/>
      <c r="AU565" s="8" t="n"/>
      <c r="AV565" s="8" t="n"/>
      <c r="AW565" s="8" t="n"/>
      <c r="AX565" s="8" t="n"/>
      <c r="AY565" s="8" t="n"/>
      <c r="AZ565" s="8" t="n"/>
    </row>
    <row r="566" customFormat="1" s="12">
      <c r="D566" s="13" t="n"/>
      <c r="E566" s="8" t="n"/>
      <c r="F566" s="8" t="n"/>
      <c r="G566" s="8" t="n"/>
      <c r="H566" s="8" t="n"/>
      <c r="I566" s="8" t="n"/>
      <c r="J566" s="8" t="n"/>
      <c r="K566" s="8" t="n"/>
      <c r="L566" s="8" t="n"/>
      <c r="M566" s="8" t="n"/>
      <c r="N566" s="8" t="n"/>
      <c r="O566" s="8" t="n"/>
      <c r="P566" s="8" t="n"/>
      <c r="Q566" s="8" t="n"/>
      <c r="R566" s="8" t="n"/>
      <c r="S566" s="8" t="n"/>
      <c r="T566" s="8" t="n"/>
      <c r="U566" s="8" t="n"/>
      <c r="V566" s="8" t="n"/>
      <c r="W566" s="8" t="n"/>
      <c r="X566" s="8" t="n"/>
      <c r="Y566" s="8" t="n"/>
      <c r="Z566" s="8" t="n"/>
      <c r="AA566" s="8" t="n"/>
      <c r="AB566" s="8" t="n"/>
      <c r="AC566" s="8" t="n"/>
      <c r="AD566" s="8" t="n"/>
      <c r="AE566" s="8" t="n"/>
      <c r="AF566" s="8" t="n"/>
      <c r="AG566" s="8" t="n"/>
      <c r="AH566" s="8" t="n"/>
      <c r="AI566" s="8" t="n"/>
      <c r="AJ566" s="8" t="n"/>
      <c r="AK566" s="8" t="n"/>
      <c r="AL566" s="8" t="n"/>
      <c r="AM566" s="8" t="n"/>
      <c r="AN566" s="8" t="n"/>
      <c r="AO566" s="8" t="n"/>
      <c r="AP566" s="8" t="n"/>
      <c r="AQ566" s="8" t="n"/>
      <c r="AR566" s="8" t="n"/>
      <c r="AS566" s="8" t="n"/>
      <c r="AT566" s="8" t="n"/>
      <c r="AU566" s="8" t="n"/>
      <c r="AV566" s="8" t="n"/>
      <c r="AW566" s="8" t="n"/>
      <c r="AX566" s="8" t="n"/>
      <c r="AY566" s="8" t="n"/>
      <c r="AZ566" s="8" t="n"/>
    </row>
    <row r="567" customFormat="1" s="12">
      <c r="D567" s="13" t="n"/>
      <c r="E567" s="8" t="n"/>
      <c r="F567" s="8" t="n"/>
      <c r="G567" s="8" t="n"/>
      <c r="H567" s="8" t="n"/>
      <c r="I567" s="8" t="n"/>
      <c r="J567" s="8" t="n"/>
      <c r="K567" s="8" t="n"/>
      <c r="L567" s="8" t="n"/>
      <c r="M567" s="8" t="n"/>
      <c r="N567" s="8" t="n"/>
      <c r="O567" s="8" t="n"/>
      <c r="P567" s="8" t="n"/>
      <c r="Q567" s="8" t="n"/>
      <c r="R567" s="8" t="n"/>
      <c r="S567" s="8" t="n"/>
      <c r="T567" s="8" t="n"/>
      <c r="U567" s="8" t="n"/>
      <c r="V567" s="8" t="n"/>
      <c r="W567" s="8" t="n"/>
      <c r="X567" s="8" t="n"/>
      <c r="Y567" s="8" t="n"/>
      <c r="Z567" s="8" t="n"/>
      <c r="AA567" s="8" t="n"/>
      <c r="AB567" s="8" t="n"/>
      <c r="AC567" s="8" t="n"/>
      <c r="AD567" s="8" t="n"/>
      <c r="AE567" s="8" t="n"/>
      <c r="AF567" s="8" t="n"/>
      <c r="AG567" s="8" t="n"/>
      <c r="AH567" s="8" t="n"/>
      <c r="AI567" s="8" t="n"/>
      <c r="AJ567" s="8" t="n"/>
      <c r="AK567" s="8" t="n"/>
      <c r="AL567" s="8" t="n"/>
      <c r="AM567" s="8" t="n"/>
      <c r="AN567" s="8" t="n"/>
      <c r="AO567" s="8" t="n"/>
      <c r="AP567" s="8" t="n"/>
      <c r="AQ567" s="8" t="n"/>
      <c r="AR567" s="8" t="n"/>
      <c r="AS567" s="8" t="n"/>
      <c r="AT567" s="8" t="n"/>
      <c r="AU567" s="8" t="n"/>
      <c r="AV567" s="8" t="n"/>
      <c r="AW567" s="8" t="n"/>
      <c r="AX567" s="8" t="n"/>
      <c r="AY567" s="8" t="n"/>
      <c r="AZ567" s="8" t="n"/>
    </row>
    <row r="568" customFormat="1" s="12">
      <c r="D568" s="13" t="n"/>
      <c r="E568" s="8" t="n"/>
      <c r="F568" s="8" t="n"/>
      <c r="G568" s="8" t="n"/>
      <c r="H568" s="8" t="n"/>
      <c r="I568" s="8" t="n"/>
      <c r="J568" s="8" t="n"/>
      <c r="K568" s="8" t="n"/>
      <c r="L568" s="8" t="n"/>
      <c r="M568" s="8" t="n"/>
      <c r="N568" s="8" t="n"/>
      <c r="O568" s="8" t="n"/>
      <c r="P568" s="8" t="n"/>
      <c r="Q568" s="8" t="n"/>
      <c r="R568" s="8" t="n"/>
      <c r="S568" s="8" t="n"/>
      <c r="T568" s="8" t="n"/>
      <c r="U568" s="8" t="n"/>
      <c r="V568" s="8" t="n"/>
      <c r="W568" s="8" t="n"/>
      <c r="X568" s="8" t="n"/>
      <c r="Y568" s="8" t="n"/>
      <c r="Z568" s="8" t="n"/>
      <c r="AA568" s="8" t="n"/>
      <c r="AB568" s="8" t="n"/>
      <c r="AC568" s="8" t="n"/>
      <c r="AD568" s="8" t="n"/>
      <c r="AE568" s="8" t="n"/>
      <c r="AF568" s="8" t="n"/>
      <c r="AG568" s="8" t="n"/>
      <c r="AH568" s="8" t="n"/>
      <c r="AI568" s="8" t="n"/>
      <c r="AJ568" s="8" t="n"/>
      <c r="AK568" s="8" t="n"/>
      <c r="AL568" s="8" t="n"/>
      <c r="AM568" s="8" t="n"/>
      <c r="AN568" s="8" t="n"/>
      <c r="AO568" s="8" t="n"/>
      <c r="AP568" s="8" t="n"/>
      <c r="AQ568" s="8" t="n"/>
      <c r="AR568" s="8" t="n"/>
      <c r="AS568" s="8" t="n"/>
      <c r="AT568" s="8" t="n"/>
      <c r="AU568" s="8" t="n"/>
      <c r="AV568" s="8" t="n"/>
      <c r="AW568" s="8" t="n"/>
      <c r="AX568" s="8" t="n"/>
      <c r="AY568" s="8" t="n"/>
      <c r="AZ568" s="8" t="n"/>
    </row>
  </sheetData>
  <mergeCells count="10">
    <mergeCell ref="L170:P170"/>
    <mergeCell ref="L167:P167"/>
    <mergeCell ref="L171:P171"/>
    <mergeCell ref="F170:I170"/>
    <mergeCell ref="F167:I167"/>
    <mergeCell ref="F171:I171"/>
    <mergeCell ref="L168:P168"/>
    <mergeCell ref="L169:P169"/>
    <mergeCell ref="F168:I168"/>
    <mergeCell ref="F169:I169"/>
  </mergeCells>
  <conditionalFormatting sqref="E148">
    <cfRule type="cellIs" priority="5" operator="notEqual" dxfId="1">
      <formula>1</formula>
    </cfRule>
  </conditionalFormatting>
  <conditionalFormatting sqref="E172:E173">
    <cfRule type="cellIs" priority="6" operator="notEqual" dxfId="1">
      <formula>1</formula>
    </cfRule>
  </conditionalFormatting>
  <conditionalFormatting sqref="E166:R166">
    <cfRule type="cellIs" priority="7" operator="lessThan" dxfId="0">
      <formula>0</formula>
    </cfRule>
  </conditionalFormatting>
  <conditionalFormatting sqref="E150">
    <cfRule type="cellIs" priority="4" operator="notEqual" dxfId="1">
      <formula>1</formula>
    </cfRule>
  </conditionalFormatting>
  <conditionalFormatting sqref="E85">
    <cfRule type="cellIs" priority="3" operator="notEqual" dxfId="0">
      <formula>1</formula>
    </cfRule>
  </conditionalFormatting>
  <conditionalFormatting sqref="E152">
    <cfRule type="cellIs" priority="2" operator="notEqual" dxfId="1">
      <formula>1</formula>
    </cfRule>
  </conditionalFormatting>
  <conditionalFormatting sqref="E280:P280">
    <cfRule type="cellIs" priority="1" operator="lessThan" dxfId="0">
      <formula>0</formula>
    </cfRule>
  </conditionalFormatting>
  <dataValidations count="2">
    <dataValidation sqref="E162" showDropDown="0" showInputMessage="1" showErrorMessage="1" allowBlank="1" type="list">
      <formula1>"1,0"</formula1>
    </dataValidation>
    <dataValidation sqref="E141" showDropDown="0" showInputMessage="1" showErrorMessage="1" allowBlank="1" type="list">
      <formula1>$H$110:$P$110</formula1>
    </dataValidation>
  </dataValidations>
  <pageMargins left="0.7" right="0.7" top="0.75" bottom="0.75" header="0.3" footer="0.3"/>
  <pageSetup orientation="portrait" paperSize="9"/>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Hossam-Eldin Badry</dc:creator>
  <dcterms:created xsi:type="dcterms:W3CDTF">2015-06-05T18:17:20Z</dcterms:created>
  <dcterms:modified xsi:type="dcterms:W3CDTF">2026-10-05T09:13:54Z</dcterms:modified>
  <cp:lastModifiedBy>Wagdy Mahmoud Elsayed</cp:lastModifiedBy>
  <cp:lastPrinted>2025-09-11T09:30:15Z</cp:lastPrinted>
</cp:coreProperties>
</file>