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ستثمر" sheetId="1" state="visible" r:id="rId3"/>
    <sheet name="الافتراضات" sheetId="2" state="visible" r:id="rId4"/>
    <sheet name="المقارنات السعرية" sheetId="3" state="visible" r:id="rId5"/>
    <sheet name="العائد على المستثمر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<sst xmlns="http://schemas.openxmlformats.org/spreadsheetml/2006/main" count="214" uniqueCount="183">
  <si>
    <t xml:space="preserve">فرصة استثمارية – شراء 12 وحدة تاون هاوس | مشروع القادسية تاون هاوس – شرق الرياض</t>
  </si>
  <si>
    <t xml:space="preserve">ملخص تنفيذي – كل الأرقام مرتبطة تلقائياً بأوراق الافتراضات والمقارنات والعائد</t>
  </si>
  <si>
    <t xml:space="preserve">العرض</t>
  </si>
  <si>
    <t xml:space="preserve">السعر مقابل السوق</t>
  </si>
  <si>
    <t xml:space="preserve">عدد الوحدات</t>
  </si>
  <si>
    <t xml:space="preserve">متوسط سعر متر التاون هاوس – القادسية</t>
  </si>
  <si>
    <t xml:space="preserve">سعر الوحدة للمستثمر</t>
  </si>
  <si>
    <t xml:space="preserve">متوسط سعر المتر – الأحياء المحيطة</t>
  </si>
  <si>
    <t xml:space="preserve">مساحة الوحدة (م²)</t>
  </si>
  <si>
    <t xml:space="preserve">سعر البيع الفردي بدراسة المشروع</t>
  </si>
  <si>
    <t xml:space="preserve">سعر المتر للمستثمر</t>
  </si>
  <si>
    <t xml:space="preserve">خصم سعرنا عن سوق القادسية</t>
  </si>
  <si>
    <t xml:space="preserve">إجمالي قيمة الصفقة</t>
  </si>
  <si>
    <t xml:space="preserve">خصم سعرنا عن سعر البيع الفردي</t>
  </si>
  <si>
    <t xml:space="preserve">إجمالي التكلفة شاملة ضريبة التصرفات</t>
  </si>
  <si>
    <t xml:space="preserve">مكسب فوري للمستثمر بسعر سوق القادسية</t>
  </si>
  <si>
    <t xml:space="preserve">العائد المتوقع – البيع بعد التسليم</t>
  </si>
  <si>
    <t xml:space="preserve">العائد المتوقع – التأجير</t>
  </si>
  <si>
    <t xml:space="preserve">صافي الربح</t>
  </si>
  <si>
    <t xml:space="preserve">إيجار سنوي إجمالي (12 وحدة)</t>
  </si>
  <si>
    <t xml:space="preserve">ROI الكلي</t>
  </si>
  <si>
    <t xml:space="preserve">صافي الدخل السنوي</t>
  </si>
  <si>
    <t xml:space="preserve">العائد السنوي البسيط</t>
  </si>
  <si>
    <t xml:space="preserve">العائد الإيجاري الإجمالي</t>
  </si>
  <si>
    <t xml:space="preserve">IRR السنوي</t>
  </si>
  <si>
    <t xml:space="preserve">صافي العائد الإيجاري</t>
  </si>
  <si>
    <t xml:space="preserve">هامش الأمان (انخفاض السوق قبل الخسارة)</t>
  </si>
  <si>
    <t xml:space="preserve">العائد الإيجاري لمشتري بسعر السوق</t>
  </si>
  <si>
    <t xml:space="preserve">لماذا هذه الصفقة؟</t>
  </si>
  <si>
    <t xml:space="preserve">• حي قائم ومكتمل الخدمات شرق الرياض، وأسعار الأحياء المجاورة (الرمال، اليرموك) أعلى.</t>
  </si>
  <si>
    <t xml:space="preserve">• صفقة جملة واحدة لـ 12 وحدة = سعر تفضيلي لا يتاح للمشتري الفردي.</t>
  </si>
  <si>
    <t xml:space="preserve">تنبيه: المقارنات أسعار عرض من منصات الإعلانات (بحث 30/9/2026) وليست صفقات منفذة، والعوائد تقديرية تعتمد على الافتراضات المعلنة وليست ضماناً.</t>
  </si>
  <si>
    <t xml:space="preserve">الافتراضات – عرض شراء 12 وحدة تاون هاوس | القادسية تاون هاوس</t>
  </si>
  <si>
    <t xml:space="preserve">الخلايا بالخط الأزرق والخلفية الصفراء مدخلات قابلة للتعديل – باقي النموذج يُحسب تلقائياً</t>
  </si>
  <si>
    <t xml:space="preserve">البند</t>
  </si>
  <si>
    <t xml:space="preserve">القيمة</t>
  </si>
  <si>
    <t xml:space="preserve">المصدر / ملاحظة</t>
  </si>
  <si>
    <t xml:space="preserve">أولاً | العرض</t>
  </si>
  <si>
    <t xml:space="preserve">عدد الوحدات المعروضة</t>
  </si>
  <si>
    <t xml:space="preserve">من طلب الإدارة</t>
  </si>
  <si>
    <t xml:space="preserve">سعر الوحدة للمستثمر (ريال)</t>
  </si>
  <si>
    <t xml:space="preserve">من طلب الإدارة – سعر جملة لكامل الـ 12 وحدة</t>
  </si>
  <si>
    <t xml:space="preserve">متوسط مساحة الوحدة (م² مسطحات)</t>
  </si>
  <si>
    <t xml:space="preserve">ملف دراسة المشروع – الخلية E19 (متوسط مساحة الوحدة)</t>
  </si>
  <si>
    <t xml:space="preserve">سعر البيع الفردي للمتر في دراسة المشروع (ريال/م²)</t>
  </si>
  <si>
    <t xml:space="preserve">ملف دراسة المشروع – الخلية H77 (سعر بيع المتر للأفراد)</t>
  </si>
  <si>
    <t xml:space="preserve">ثانياً | تكاليف الشراء</t>
  </si>
  <si>
    <t xml:space="preserve">ضريبة التصرفات العقارية عند الشراء</t>
  </si>
  <si>
    <t xml:space="preserve">نظام ضريبة التصرفات العقارية 5% – عدّلها إذا تحملها المطور</t>
  </si>
  <si>
    <t xml:space="preserve">سعي / عمولة الشراء</t>
  </si>
  <si>
    <t xml:space="preserve">شراء مباشر من المطور بدون وسيط</t>
  </si>
  <si>
    <t xml:space="preserve">ثالثاً | جدول السداد (كل فترة = 6 أشهر)</t>
  </si>
  <si>
    <t xml:space="preserve">الدفعة عند التوقيع (شهر 0)</t>
  </si>
  <si>
    <t xml:space="preserve">افتراض تحفظي: سداد كامل مقدماً – يمكن تقسيطه لرفع العائد</t>
  </si>
  <si>
    <t xml:space="preserve">الدفعة الثانية (شهر 6)</t>
  </si>
  <si>
    <t xml:space="preserve">الدفعة الثالثة (شهر 12)</t>
  </si>
  <si>
    <t xml:space="preserve">الدفعة الرابعة (شهر 18)</t>
  </si>
  <si>
    <t xml:space="preserve">الدفعة عند التسليم (شهر 24)</t>
  </si>
  <si>
    <t xml:space="preserve">رابعاً | سيناريو إعادة البيع بعد التسليم</t>
  </si>
  <si>
    <t xml:space="preserve">متوسط سعر المتر لتاون هاوس القادسية (من المقارنات)</t>
  </si>
  <si>
    <t xml:space="preserve">رابط تلقائي بورقة المقارنات</t>
  </si>
  <si>
    <t xml:space="preserve">خصم تحفظي على سعر السوق</t>
  </si>
  <si>
    <t xml:space="preserve">لأن الأسعار المرصودة أسعار عرض وليست صفقات منفذة</t>
  </si>
  <si>
    <t xml:space="preserve">نمو سنوي في الأسعار حتى التسليم</t>
  </si>
  <si>
    <t xml:space="preserve">افتراض تحفظي = صفر</t>
  </si>
  <si>
    <t xml:space="preserve">المدة حتى التسليم والبيع (سنة)</t>
  </si>
  <si>
    <t xml:space="preserve">دراسة المشروع 22 شهراً – مقربة إلى سنتين</t>
  </si>
  <si>
    <t xml:space="preserve">سعر المتر المتوقع عند البيع (ريال/م²)</t>
  </si>
  <si>
    <t xml:space="preserve">محسوب</t>
  </si>
  <si>
    <t xml:space="preserve">عمولة التسويق / السعي عند البيع</t>
  </si>
  <si>
    <t xml:space="preserve">العرف السائق 2.5%</t>
  </si>
  <si>
    <t xml:space="preserve">ضريبة التصرفات عند إعادة البيع</t>
  </si>
  <si>
    <t xml:space="preserve">5% – تحفظياً على البائع</t>
  </si>
  <si>
    <t xml:space="preserve">خامساً | سيناريو الاحتفاظ والتأجير</t>
  </si>
  <si>
    <t xml:space="preserve">الإيجار السنوي للوحدة (ريال)</t>
  </si>
  <si>
    <t xml:space="preserve">تاون هاوس 173م² بمجمع ركايا – القادسية مؤجر بـ 75,000 (حراج) – افتراض أقل تحفظاً</t>
  </si>
  <si>
    <t xml:space="preserve">نسبة الإشغال</t>
  </si>
  <si>
    <t xml:space="preserve">افتراض</t>
  </si>
  <si>
    <t xml:space="preserve">مصاريف التشغيل والصيانة من الإيجار</t>
  </si>
  <si>
    <t xml:space="preserve">افتراض (إدارة أملاك + صيانة)</t>
  </si>
  <si>
    <t xml:space="preserve">تحقق: مجموع جدول السداد = 100%</t>
  </si>
  <si>
    <t xml:space="preserve">المقارنات السعرية – تاون هاوس في القادسية والأحياء المحيطة (شرق الرياض)</t>
  </si>
  <si>
    <t xml:space="preserve">أسعار عرض مرصودة من منصات الإعلانات العقارية (حراج، بيوت، عقار) – بحث بتاريخ 30 سبتمبر 2026. أسعار طلب وليست صفقات منفذة.</t>
  </si>
  <si>
    <t xml:space="preserve">#</t>
  </si>
  <si>
    <t xml:space="preserve">الحي</t>
  </si>
  <si>
    <t xml:space="preserve">الوصف</t>
  </si>
  <si>
    <t xml:space="preserve">المساحة م²</t>
  </si>
  <si>
    <t xml:space="preserve">السعر المعروض (ريال)</t>
  </si>
  <si>
    <t xml:space="preserve">سعر المتر (ريال/م²)</t>
  </si>
  <si>
    <t xml:space="preserve">تاريخ الإعلان</t>
  </si>
  <si>
    <t xml:space="preserve">المصدر</t>
  </si>
  <si>
    <t xml:space="preserve">القادسية</t>
  </si>
  <si>
    <t xml:space="preserve">تاون هاوس علوي</t>
  </si>
  <si>
    <t xml:space="preserve">مارس 2026</t>
  </si>
  <si>
    <t xml:space="preserve">https://haraj.com.sa/en/11164555558/</t>
  </si>
  <si>
    <t xml:space="preserve">فيلا تاون هاوس</t>
  </si>
  <si>
    <t xml:space="preserve">أغسطس 2025</t>
  </si>
  <si>
    <t xml:space="preserve">https://haraj.com.sa/11151387860/</t>
  </si>
  <si>
    <t xml:space="preserve">تاون هاوس – شارع 30 غرب، 3 غرف</t>
  </si>
  <si>
    <t xml:space="preserve">2026</t>
  </si>
  <si>
    <t xml:space="preserve">https://www.bayut.sa/en/property/details-87578604.html</t>
  </si>
  <si>
    <t xml:space="preserve">شقة تاون هاوس دوبلكس 3 أدوار</t>
  </si>
  <si>
    <t xml:space="preserve">https://www.bayut.sa/en/for-sale/villas/riyadh/east-riyadh/al-qadisiyah/</t>
  </si>
  <si>
    <t xml:space="preserve">الجنادرية</t>
  </si>
  <si>
    <t xml:space="preserve">تاون هاوس أرضي – مخطط المعالي</t>
  </si>
  <si>
    <t xml:space="preserve">https://haraj.com.sa/en/11175408706/</t>
  </si>
  <si>
    <t xml:space="preserve">تاون هاوس أرضي – مخطط غصون (مسطح 260)</t>
  </si>
  <si>
    <t xml:space="preserve">https://haraj.com.sa/en/11174873787/</t>
  </si>
  <si>
    <t xml:space="preserve">تاون هاوس – مخطط غصون</t>
  </si>
  <si>
    <t xml:space="preserve">https://dwelleo.sa/ar/properties/townhouse-for-sale-in-ghsoon-al-janadriyah-east-riyadh</t>
  </si>
  <si>
    <t xml:space="preserve">مشروع تاون هاوس أرضي 3 أدوار – غصون (يبدأ من)</t>
  </si>
  <si>
    <t xml:space="preserve">2025</t>
  </si>
  <si>
    <t xml:space="preserve">https://www.tiktok.com/@realestateprofessionals1/video/7581007983971208455</t>
  </si>
  <si>
    <t xml:space="preserve">الرمال</t>
  </si>
  <si>
    <t xml:space="preserve">تاون هاوس بمصعد خاص</t>
  </si>
  <si>
    <t xml:space="preserve">https://haraj.com.sa/11171394967/</t>
  </si>
  <si>
    <t xml:space="preserve">تاون هاوس 6 غرف</t>
  </si>
  <si>
    <t xml:space="preserve">https://haraj.com.sa/11146243086/</t>
  </si>
  <si>
    <t xml:space="preserve">تاون هاوس</t>
  </si>
  <si>
    <t xml:space="preserve">https://www.alolayanholding.sa/properties/48919</t>
  </si>
  <si>
    <t xml:space="preserve">تاون هاوس 5 غرف</t>
  </si>
  <si>
    <t xml:space="preserve">https://dealapp.sa/ad-details/401927</t>
  </si>
  <si>
    <t xml:space="preserve">اليرموك</t>
  </si>
  <si>
    <t xml:space="preserve">شقة تاون هاوس</t>
  </si>
  <si>
    <t xml:space="preserve">https://www.propertyfinder.sa/ar/plp/للبيع/شقة-للبيع-الرياض-الرياض-اليرموك-255167.html</t>
  </si>
  <si>
    <t xml:space="preserve">تاون هاوس فاخر 4 غرف</t>
  </si>
  <si>
    <t xml:space="preserve">https://haraj.com.sa/en/11166554307/</t>
  </si>
  <si>
    <t xml:space="preserve">★</t>
  </si>
  <si>
    <t xml:space="preserve">مشروعنا – القادسية تاون هاوس (سعر المستثمر للجملة)</t>
  </si>
  <si>
    <t xml:space="preserve">عرض حالي</t>
  </si>
  <si>
    <t xml:space="preserve">ورقة الافتراضات</t>
  </si>
  <si>
    <t xml:space="preserve">ملخص متوسط سعر المتر حسب الحي مقارنة بسعرنا</t>
  </si>
  <si>
    <t xml:space="preserve">عدد العروض</t>
  </si>
  <si>
    <t xml:space="preserve">متوسط سعر الوحدة</t>
  </si>
  <si>
    <t xml:space="preserve">متوسط المساحة م²</t>
  </si>
  <si>
    <t xml:space="preserve">متوسط سعر المتر</t>
  </si>
  <si>
    <t xml:space="preserve">متوسط كل المقارنات</t>
  </si>
  <si>
    <t xml:space="preserve">مشروعنا (سعر المستثمر)</t>
  </si>
  <si>
    <t xml:space="preserve">أين يقف سعرنا؟</t>
  </si>
  <si>
    <t xml:space="preserve">خصم سعر المتر عن متوسط تاون هاوس القادسية</t>
  </si>
  <si>
    <t xml:space="preserve">خصم سعر المتر عن متوسط كل الأحياء المحيطة</t>
  </si>
  <si>
    <t xml:space="preserve">خصم سعر المتر عن سعر البيع الفردي بدراسة المشروع</t>
  </si>
  <si>
    <t xml:space="preserve">ترتيب سعر مترنا بين 15 عرضاً (1 = الأرخص)</t>
  </si>
  <si>
    <t xml:space="preserve">ملاحظة: بعض الإعلانات تذكر مساحة الأرض وبعضها مسطحات البناء؛ مساحة وحداتنا 250 م² مسطحات حسب دراسة المشروع. تاريخ الإعلانات من 2025–2026، ويُنصح بالتحقق الميداني قبل العرض النهائي.</t>
  </si>
  <si>
    <t xml:space="preserve">العائد على المستثمر – سيناريو إعادة البيع بعد التسليم + سيناريو التأجير</t>
  </si>
  <si>
    <t xml:space="preserve">أ) تكلفة الصفقة</t>
  </si>
  <si>
    <t xml:space="preserve">قيمة الشراء (12 وحدة)</t>
  </si>
  <si>
    <t xml:space="preserve">ضريبة التصرفات + السعي عند الشراء</t>
  </si>
  <si>
    <t xml:space="preserve">إجمالي تكلفة الاستثمار</t>
  </si>
  <si>
    <t xml:space="preserve">قيمة الوحدات بسعر البيع الفردي في دراسة المشروع</t>
  </si>
  <si>
    <t xml:space="preserve">قيمة الوحدات بمتوسط سوق القادسية الحالي</t>
  </si>
  <si>
    <t xml:space="preserve">مكسب فوري (الفرق بين سعر السوق وسعر الشراء)</t>
  </si>
  <si>
    <t xml:space="preserve">ب) التدفقات النقدية – سيناريو البيع عند التسليم (فترات نصف سنوية)</t>
  </si>
  <si>
    <t xml:space="preserve">شهر 0</t>
  </si>
  <si>
    <t xml:space="preserve">شهر 6</t>
  </si>
  <si>
    <t xml:space="preserve">شهر 12</t>
  </si>
  <si>
    <t xml:space="preserve">شهر 18</t>
  </si>
  <si>
    <t xml:space="preserve">شهر 24</t>
  </si>
  <si>
    <t xml:space="preserve">الإجمالي</t>
  </si>
  <si>
    <t xml:space="preserve">دفعات الشراء</t>
  </si>
  <si>
    <t xml:space="preserve">ضريبة التصرفات والسعي (عند التوقيع)</t>
  </si>
  <si>
    <t xml:space="preserve">متحصلات بيع الوحدات</t>
  </si>
  <si>
    <t xml:space="preserve">عمولة البيع وضريبة التصرفات</t>
  </si>
  <si>
    <t xml:space="preserve">صافي التدفق النقدي</t>
  </si>
  <si>
    <t xml:space="preserve">التدفق التراكمي</t>
  </si>
  <si>
    <t xml:space="preserve">ج) مؤشرات الربحية – سيناريو البيع</t>
  </si>
  <si>
    <t xml:space="preserve">صافي الربح (ريال)</t>
  </si>
  <si>
    <t xml:space="preserve">العائد الكلي على رأس المال (ROI)</t>
  </si>
  <si>
    <t xml:space="preserve">معدل العائد الداخلي السنوي (IRR)</t>
  </si>
  <si>
    <t xml:space="preserve">سعر المتر للتعادل (بدون ربح) ريال/م²</t>
  </si>
  <si>
    <t xml:space="preserve">هامش الأمان: انخفاض السوق المسموح قبل الخسارة</t>
  </si>
  <si>
    <t xml:space="preserve">د) تحليل الحساسية – صافي الربح حسب سعر المتر عند البيع</t>
  </si>
  <si>
    <t xml:space="preserve">سعر المتر عند البيع (ريال/م²)</t>
  </si>
  <si>
    <t xml:space="preserve">قيمة البيع</t>
  </si>
  <si>
    <t xml:space="preserve">صافي بعد العمولة والضريبة</t>
  </si>
  <si>
    <t xml:space="preserve">IRR في جدول الحساسية يفترض سداد كامل المبلغ مقدماً والبيع بعد المدة المحددة.</t>
  </si>
  <si>
    <t xml:space="preserve">هـ) سيناريو بديل – الاحتفاظ بالوحدات وتأجيرها</t>
  </si>
  <si>
    <t xml:space="preserve">إجمالي الإيجار السنوي (12 وحدة)</t>
  </si>
  <si>
    <t xml:space="preserve">بعد نسبة الإشغال</t>
  </si>
  <si>
    <t xml:space="preserve">صافي الدخل التشغيلي بعد المصاريف</t>
  </si>
  <si>
    <t xml:space="preserve">العائد الإيجاري الإجمالي على سعر الشراء</t>
  </si>
  <si>
    <t xml:space="preserve">صافي العائد الإيجاري على إجمالي التكلفة</t>
  </si>
  <si>
    <t xml:space="preserve">العائد الإيجاري الإجمالي لو اشتُريت بسعر سوق القادسية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</si>
</sst>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;\(#,##0\);\-"/>
    <numFmt numFmtId="167" formatCode="#,##0"/>
    <numFmt numFmtId="168" formatCode="0.0%;\(0.0%\);\-"/>
    <numFmt numFmtId="169" formatCode="0.0"/>
    <numFmt numFmtId="170" formatCode="#,##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FreeSans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3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9F9F9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متوسط سعر المتر (ريال/م²) – الأحياء المحيطة مقابل سعرنا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'المقارنات السعرية'!G24</c:f>
              <c:strCache>
                <c:ptCount val="1"/>
                <c:pt idx="0">
                  <c:v>متوسط سعر المتر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'المقارنات السعرية'!$C$25:$C$30</c:f>
              <c:strCache>
                <c:ptCount val="6"/>
                <c:pt idx="0">
                  <c:v>الجنادرية</c:v>
                </c:pt>
                <c:pt idx="1">
                  <c:v>الرمال</c:v>
                </c:pt>
                <c:pt idx="2">
                  <c:v>القادسية</c:v>
                </c:pt>
                <c:pt idx="3">
                  <c:v>اليرموك</c:v>
                </c:pt>
                <c:pt idx="4">
                  <c:v>متوسط كل المقارنات</c:v>
                </c:pt>
                <c:pt idx="5">
                  <c:v>مشروعنا (سعر المستثمر)</c:v>
                </c:pt>
              </c:strCache>
            </c:strRef>
          </c:cat>
          <c:val>
            <c:numRef>
              <c:f>'المقارنات السعرية'!$G$25:$G$30</c:f>
              <c:numCache>
                <c:formatCode>#,##0;\(#,##0\);\-</c:formatCode>
                <c:ptCount val="6"/>
                <c:pt idx="0">
                  <c:v>3915.57590648863</c:v>
                </c:pt>
                <c:pt idx="1">
                  <c:v>5695.05423621166</c:v>
                </c:pt>
                <c:pt idx="2">
                  <c:v>5746.20274991378</c:v>
                </c:pt>
                <c:pt idx="3">
                  <c:v>6635.58575631196</c:v>
                </c:pt>
                <c:pt idx="4">
                  <c:v>5335.60736307716</c:v>
                </c:pt>
                <c:pt idx="5">
                  <c:v>4600</c:v>
                </c:pt>
              </c:numCache>
            </c:numRef>
          </c:val>
        </c:ser>
        <c:gapWidth val="150"/>
        <c:overlap val="0"/>
        <c:axId val="30996307"/>
        <c:axId val="38171698"/>
      </c:barChart>
      <c:catAx>
        <c:axId val="309963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171698"/>
        <c:crosses val="autoZero"/>
        <c:auto val="1"/>
        <c:lblAlgn val="ctr"/>
        <c:lblOffset val="100"/>
        <c:noMultiLvlLbl val="0"/>
      </c:catAx>
      <c:valAx>
        <c:axId val="381716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ريال / م²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963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-879120</xdr:colOff>
      <xdr:row>37</xdr:row>
      <xdr:rowOff>157680</xdr:rowOff>
    </xdr:from>
    <xdr:to>
      <xdr:col>4</xdr:col>
      <xdr:colOff>0</xdr:colOff>
      <xdr:row>52</xdr:row>
      <xdr:rowOff>179640</xdr:rowOff>
    </xdr:to>
    <xdr:graphicFrame>
      <xdr:nvGraphicFramePr>
        <xdr:cNvPr id="0" name="Chart 1"/>
        <xdr:cNvGraphicFramePr/>
      </xdr:nvGraphicFramePr>
      <xdr:xfrm>
        <a:off x="-6657480" y="7620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haraj.com.sa/en/11164555558/" TargetMode="External"/><Relationship Id="rId2" Type="http://schemas.openxmlformats.org/officeDocument/2006/relationships/hyperlink" Target="https://haraj.com.sa/11151387860/" TargetMode="External"/><Relationship Id="rId3" Type="http://schemas.openxmlformats.org/officeDocument/2006/relationships/hyperlink" Target="https://www.bayut.sa/en/property/details-87578604.html" TargetMode="External"/><Relationship Id="rId4" Type="http://schemas.openxmlformats.org/officeDocument/2006/relationships/hyperlink" Target="https://www.bayut.sa/en/for-sale/villas/riyadh/east-riyadh/al-qadisiyah/" TargetMode="External"/><Relationship Id="rId5" Type="http://schemas.openxmlformats.org/officeDocument/2006/relationships/hyperlink" Target="https://haraj.com.sa/en/11175408706/" TargetMode="External"/><Relationship Id="rId6" Type="http://schemas.openxmlformats.org/officeDocument/2006/relationships/hyperlink" Target="https://haraj.com.sa/en/11174873787/" TargetMode="External"/><Relationship Id="rId7" Type="http://schemas.openxmlformats.org/officeDocument/2006/relationships/hyperlink" Target="https://dwelleo.sa/ar/properties/townhouse-for-sale-in-ghsoon-al-janadriyah-east-riyadh" TargetMode="External"/><Relationship Id="rId8" Type="http://schemas.openxmlformats.org/officeDocument/2006/relationships/hyperlink" Target="https://www.tiktok.com/@realestateprofessionals1/video/7581007983971208455" TargetMode="External"/><Relationship Id="rId9" Type="http://schemas.openxmlformats.org/officeDocument/2006/relationships/hyperlink" Target="https://haraj.com.sa/11171394967/" TargetMode="External"/><Relationship Id="rId10" Type="http://schemas.openxmlformats.org/officeDocument/2006/relationships/hyperlink" Target="https://haraj.com.sa/11146243086/" TargetMode="External"/><Relationship Id="rId11" Type="http://schemas.openxmlformats.org/officeDocument/2006/relationships/hyperlink" Target="https://www.alolayanholding.sa/properties/48919" TargetMode="External"/><Relationship Id="rId12" Type="http://schemas.openxmlformats.org/officeDocument/2006/relationships/hyperlink" Target="https://dealapp.sa/ad-details/401927" TargetMode="External"/><Relationship Id="rId13" Type="http://schemas.openxmlformats.org/officeDocument/2006/relationships/hyperlink" Target="https://www.propertyfinder.sa/ar/plp/&#1604;&#1604;&#1576;&#1610;&#1593;/&#1588;&#1602;&#1577;-&#1604;&#1604;&#1576;&#1610;&#1593;-&#1575;&#1604;&#1585;&#1610;&#1575;&#1590;-&#1575;&#1604;&#1585;&#1610;&#1575;&#1590;-&#1575;&#1604;&#1610;&#1585;&#1605;&#1608;&#1603;-255167.html" TargetMode="External"/><Relationship Id="rId14" Type="http://schemas.openxmlformats.org/officeDocument/2006/relationships/hyperlink" Target="https://haraj.com.sa/en/11166554307/" TargetMode="External"/><Relationship Id="rId1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50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</row>
    <row r="2" customFormat="false" ht="21.6" hidden="false" customHeight="false" outlineLevel="0" collapsed="false">
      <c r="A2" s="1"/>
      <c r="B2" s="2" t="s">
        <v>0</v>
      </c>
      <c r="C2" s="1"/>
      <c r="D2" s="1"/>
      <c r="E2" s="1"/>
      <c r="F2" s="1"/>
    </row>
    <row r="3" customFormat="false" ht="15" hidden="false" customHeight="false" outlineLevel="0" collapsed="false">
      <c r="A3" s="1"/>
      <c r="B3" s="3" t="s">
        <v>1</v>
      </c>
      <c r="C3" s="1"/>
      <c r="D3" s="1"/>
      <c r="E3" s="1"/>
      <c r="F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</row>
    <row r="5" customFormat="false" ht="16.15" hidden="false" customHeight="false" outlineLevel="0" collapsed="false">
      <c r="A5" s="1"/>
      <c r="B5" s="4" t="s">
        <v>2</v>
      </c>
      <c r="C5" s="4"/>
      <c r="D5" s="1"/>
      <c r="E5" s="4" t="s">
        <v>3</v>
      </c>
      <c r="F5" s="4"/>
    </row>
    <row r="6" customFormat="false" ht="15" hidden="false" customHeight="false" outlineLevel="0" collapsed="false">
      <c r="A6" s="1"/>
      <c r="B6" s="5" t="s">
        <v>4</v>
      </c>
      <c r="C6" s="6" t="n">
        <f aca="false">الافتراضات!$C$7</f>
        <v>12</v>
      </c>
      <c r="D6" s="1"/>
      <c r="E6" s="5" t="s">
        <v>5</v>
      </c>
      <c r="F6" s="7" t="n">
        <f aca="false">'المقارنات السعرية'!G27</f>
        <v>5746.20274991378</v>
      </c>
    </row>
    <row r="7" customFormat="false" ht="15" hidden="false" customHeight="false" outlineLevel="0" collapsed="false">
      <c r="A7" s="1"/>
      <c r="B7" s="5" t="s">
        <v>6</v>
      </c>
      <c r="C7" s="7" t="n">
        <f aca="false">الافتراضات!$C$8</f>
        <v>1150000</v>
      </c>
      <c r="D7" s="1"/>
      <c r="E7" s="5" t="s">
        <v>7</v>
      </c>
      <c r="F7" s="7" t="n">
        <f aca="false">'المقارنات السعرية'!G29</f>
        <v>5335.60736307716</v>
      </c>
    </row>
    <row r="8" customFormat="false" ht="15" hidden="false" customHeight="false" outlineLevel="0" collapsed="false">
      <c r="A8" s="1"/>
      <c r="B8" s="5" t="s">
        <v>8</v>
      </c>
      <c r="C8" s="8" t="n">
        <f aca="false">الافتراضات!$C$9</f>
        <v>250</v>
      </c>
      <c r="D8" s="1"/>
      <c r="E8" s="5" t="s">
        <v>9</v>
      </c>
      <c r="F8" s="7" t="n">
        <f aca="false">الافتراضات!$C$10</f>
        <v>5400</v>
      </c>
    </row>
    <row r="9" customFormat="false" ht="15" hidden="false" customHeight="false" outlineLevel="0" collapsed="false">
      <c r="A9" s="1"/>
      <c r="B9" s="5" t="s">
        <v>10</v>
      </c>
      <c r="C9" s="7" t="n">
        <f aca="false">'المقارنات السعرية'!G30</f>
        <v>4600</v>
      </c>
      <c r="D9" s="1"/>
      <c r="E9" s="5" t="s">
        <v>11</v>
      </c>
      <c r="F9" s="9" t="n">
        <f aca="false">'المقارنات السعرية'!G33</f>
        <v>0.199471337820612</v>
      </c>
    </row>
    <row r="10" customFormat="false" ht="15" hidden="false" customHeight="false" outlineLevel="0" collapsed="false">
      <c r="A10" s="1"/>
      <c r="B10" s="5" t="s">
        <v>12</v>
      </c>
      <c r="C10" s="7" t="n">
        <f aca="false">'العائد على المستثمر'!C5</f>
        <v>13800000</v>
      </c>
      <c r="D10" s="1"/>
      <c r="E10" s="5" t="s">
        <v>13</v>
      </c>
      <c r="F10" s="9" t="n">
        <f aca="false">'المقارنات السعرية'!G35</f>
        <v>0.148148148148148</v>
      </c>
    </row>
    <row r="11" customFormat="false" ht="15" hidden="false" customHeight="false" outlineLevel="0" collapsed="false">
      <c r="A11" s="1"/>
      <c r="B11" s="5" t="s">
        <v>14</v>
      </c>
      <c r="C11" s="7" t="n">
        <f aca="false">'العائد على المستثمر'!C7</f>
        <v>14490000</v>
      </c>
      <c r="D11" s="1"/>
      <c r="E11" s="5" t="s">
        <v>15</v>
      </c>
      <c r="F11" s="10" t="n">
        <f aca="false">'العائد على المستثمر'!C10</f>
        <v>3438608.24974135</v>
      </c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</row>
    <row r="13" customFormat="false" ht="16.15" hidden="false" customHeight="false" outlineLevel="0" collapsed="false">
      <c r="A13" s="1"/>
      <c r="B13" s="4" t="s">
        <v>16</v>
      </c>
      <c r="C13" s="4"/>
      <c r="D13" s="1"/>
      <c r="E13" s="4" t="s">
        <v>17</v>
      </c>
      <c r="F13" s="4"/>
    </row>
    <row r="14" customFormat="false" ht="15" hidden="false" customHeight="false" outlineLevel="0" collapsed="false">
      <c r="A14" s="1"/>
      <c r="B14" s="5" t="s">
        <v>18</v>
      </c>
      <c r="C14" s="10" t="n">
        <f aca="false">'العائد على المستثمر'!C22</f>
        <v>658426.999460213</v>
      </c>
      <c r="D14" s="1"/>
      <c r="E14" s="5" t="s">
        <v>19</v>
      </c>
      <c r="F14" s="10" t="n">
        <f aca="false">'العائد على المستثمر'!C42</f>
        <v>840000</v>
      </c>
    </row>
    <row r="15" customFormat="false" ht="15" hidden="false" customHeight="false" outlineLevel="0" collapsed="false">
      <c r="A15" s="1"/>
      <c r="B15" s="5" t="s">
        <v>20</v>
      </c>
      <c r="C15" s="9" t="n">
        <f aca="false">'العائد على المستثمر'!C23</f>
        <v>0.0454400965811051</v>
      </c>
      <c r="D15" s="1"/>
      <c r="E15" s="5" t="s">
        <v>21</v>
      </c>
      <c r="F15" s="10" t="n">
        <f aca="false">'العائد على المستثمر'!C44</f>
        <v>742140</v>
      </c>
    </row>
    <row r="16" customFormat="false" ht="15" hidden="false" customHeight="false" outlineLevel="0" collapsed="false">
      <c r="A16" s="1"/>
      <c r="B16" s="5" t="s">
        <v>22</v>
      </c>
      <c r="C16" s="9" t="n">
        <f aca="false">'العائد على المستثمر'!C24</f>
        <v>0.0227200482905526</v>
      </c>
      <c r="D16" s="1"/>
      <c r="E16" s="5" t="s">
        <v>23</v>
      </c>
      <c r="F16" s="9" t="n">
        <f aca="false">'العائد على المستثمر'!C45</f>
        <v>0.0608695652173913</v>
      </c>
    </row>
    <row r="17" customFormat="false" ht="15" hidden="false" customHeight="false" outlineLevel="0" collapsed="false">
      <c r="A17" s="1"/>
      <c r="B17" s="5" t="s">
        <v>24</v>
      </c>
      <c r="C17" s="9" t="n">
        <f aca="false">'العائد على المستثمر'!C25</f>
        <v>0.0224676506281774</v>
      </c>
      <c r="D17" s="1"/>
      <c r="E17" s="5" t="s">
        <v>25</v>
      </c>
      <c r="F17" s="9" t="n">
        <f aca="false">'العائد على المستثمر'!C46</f>
        <v>0.0512173913043478</v>
      </c>
    </row>
    <row r="18" customFormat="false" ht="15" hidden="false" customHeight="false" outlineLevel="0" collapsed="false">
      <c r="A18" s="1"/>
      <c r="B18" s="5" t="s">
        <v>26</v>
      </c>
      <c r="C18" s="9" t="n">
        <f aca="false">'العائد على المستثمر'!C27</f>
        <v>0.0912917888774518</v>
      </c>
      <c r="D18" s="1"/>
      <c r="E18" s="5" t="s">
        <v>27</v>
      </c>
      <c r="F18" s="9" t="n">
        <f aca="false">'العائد على المستثمر'!C47</f>
        <v>0.0487278316109192</v>
      </c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</row>
    <row r="20" customFormat="false" ht="16.15" hidden="false" customHeight="false" outlineLevel="0" collapsed="false">
      <c r="A20" s="1"/>
      <c r="B20" s="4" t="s">
        <v>28</v>
      </c>
      <c r="C20" s="4"/>
      <c r="D20" s="4"/>
      <c r="E20" s="4"/>
      <c r="F20" s="4"/>
    </row>
    <row r="21" customFormat="false" ht="15" hidden="false" customHeight="false" outlineLevel="0" collapsed="false">
      <c r="A21" s="1"/>
      <c r="B21" s="11" t="str">
        <f aca="false">"• سعر المتر للمستثمر "&amp;TEXT(C9,"#,##0")&amp;" ريال مقابل متوسط "&amp;TEXT(F6,"#,##0")&amp;" ريال لتاون هاوس القادسية – خصم "&amp;TEXT(F9,"0%")&amp;"."</f>
        <v>• سعر المتر للمستثمر 4,600 ريال مقابل متوسط 5,746 ريال لتاون هاوس القادسية – خصم 20%.</v>
      </c>
      <c r="C21" s="11"/>
      <c r="D21" s="11"/>
      <c r="E21" s="11"/>
      <c r="F21" s="11"/>
    </row>
    <row r="22" customFormat="false" ht="15" hidden="false" customHeight="false" outlineLevel="0" collapsed="false">
      <c r="A22" s="1"/>
      <c r="B22" s="11" t="str">
        <f aca="false">"• مكسب فوري يقارب "&amp;TEXT(F11,"#,##0")&amp;" ريال بمجرد الشراء بسعر الجملة مقارنة بسعر السوق الحالي."</f>
        <v>• مكسب فوري يقارب 3,438,608 ريال بمجرد الشراء بسعر الجملة مقارنة بسعر السوق الحالي.</v>
      </c>
      <c r="C22" s="11"/>
      <c r="D22" s="11"/>
      <c r="E22" s="11"/>
      <c r="F22" s="11"/>
    </row>
    <row r="23" customFormat="false" ht="15" hidden="false" customHeight="false" outlineLevel="0" collapsed="false">
      <c r="A23" s="1"/>
      <c r="B23" s="11" t="str">
        <f aca="false">"• حتى لو نزل السوق بنسبة "&amp;TEXT(C18,"0%")&amp;" يسترد المستثمر كامل رأس ماله شاملاً الضرائب والعمولات."</f>
        <v>• حتى لو نزل السوق بنسبة 9% يسترد المستثمر كامل رأس ماله شاملاً الضرائب والعمولات.</v>
      </c>
      <c r="C23" s="11"/>
      <c r="D23" s="11"/>
      <c r="E23" s="11"/>
      <c r="F23" s="11"/>
    </row>
    <row r="24" customFormat="false" ht="15" hidden="false" customHeight="false" outlineLevel="0" collapsed="false">
      <c r="A24" s="1"/>
      <c r="B24" s="11" t="str">
        <f aca="false">"• بديل التأجير: عائد إيجاري إجمالي "&amp;TEXT(F16,"0.0%")&amp;" على سعر الشراء مقابل "&amp;TEXT(F18,"0.0%")&amp;" لمن يشتري بسعر السوق."</f>
        <v>• بديل التأجير: عائد إيجاري إجمالي 6.1% على سعر الشراء مقابل 4.9% لمن يشتري بسعر السوق.</v>
      </c>
      <c r="C24" s="11"/>
      <c r="D24" s="11"/>
      <c r="E24" s="11"/>
      <c r="F24" s="11"/>
    </row>
    <row r="25" customFormat="false" ht="15" hidden="false" customHeight="true" outlineLevel="0" collapsed="false">
      <c r="A25" s="1"/>
      <c r="B25" s="11" t="s">
        <v>29</v>
      </c>
      <c r="C25" s="11"/>
      <c r="D25" s="11"/>
      <c r="E25" s="11"/>
      <c r="F25" s="11"/>
    </row>
    <row r="26" customFormat="false" ht="15" hidden="false" customHeight="true" outlineLevel="0" collapsed="false">
      <c r="A26" s="1"/>
      <c r="B26" s="11" t="s">
        <v>30</v>
      </c>
      <c r="C26" s="11"/>
      <c r="D26" s="11"/>
      <c r="E26" s="11"/>
      <c r="F26" s="1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</row>
    <row r="28" customFormat="false" ht="15" hidden="false" customHeight="true" outlineLevel="0" collapsed="false">
      <c r="A28" s="1"/>
      <c r="B28" s="12" t="s">
        <v>31</v>
      </c>
      <c r="C28" s="12"/>
      <c r="D28" s="12"/>
      <c r="E28" s="12"/>
      <c r="F28" s="12"/>
    </row>
    <row r="29" customFormat="false" ht="15" hidden="false" customHeight="false" outlineLevel="0" collapsed="false">
      <c r="A29" s="1"/>
      <c r="B29" s="12"/>
      <c r="C29" s="12"/>
      <c r="D29" s="12"/>
      <c r="E29" s="12"/>
      <c r="F29" s="12"/>
    </row>
  </sheetData>
  <mergeCells count="12">
    <mergeCell ref="B5:C5"/>
    <mergeCell ref="E5:F5"/>
    <mergeCell ref="B13:C13"/>
    <mergeCell ref="E13:F13"/>
    <mergeCell ref="B20:F20"/>
    <mergeCell ref="B21:F21"/>
    <mergeCell ref="B22:F22"/>
    <mergeCell ref="B23:F23"/>
    <mergeCell ref="B24:F24"/>
    <mergeCell ref="B25:F25"/>
    <mergeCell ref="B26:F26"/>
    <mergeCell ref="B28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21.6" hidden="false" customHeight="false" outlineLevel="0" collapsed="false">
      <c r="A2" s="1"/>
      <c r="B2" s="2" t="s">
        <v>32</v>
      </c>
      <c r="C2" s="1"/>
      <c r="D2" s="1"/>
    </row>
    <row r="3" customFormat="false" ht="15" hidden="false" customHeight="false" outlineLevel="0" collapsed="false">
      <c r="A3" s="1"/>
      <c r="B3" s="3" t="s">
        <v>33</v>
      </c>
      <c r="C3" s="1"/>
      <c r="D3" s="1"/>
    </row>
    <row r="4" customFormat="false" ht="15" hidden="false" customHeight="false" outlineLevel="0" collapsed="false">
      <c r="A4" s="1"/>
      <c r="B4" s="1"/>
      <c r="C4" s="1"/>
      <c r="D4" s="1"/>
    </row>
    <row r="5" customFormat="false" ht="15" hidden="false" customHeight="false" outlineLevel="0" collapsed="false">
      <c r="A5" s="1"/>
      <c r="B5" s="13" t="s">
        <v>34</v>
      </c>
      <c r="C5" s="13" t="s">
        <v>35</v>
      </c>
      <c r="D5" s="13" t="s">
        <v>36</v>
      </c>
    </row>
    <row r="6" customFormat="false" ht="15" hidden="false" customHeight="false" outlineLevel="0" collapsed="false">
      <c r="A6" s="1"/>
      <c r="B6" s="4" t="s">
        <v>37</v>
      </c>
      <c r="C6" s="4"/>
      <c r="D6" s="4"/>
    </row>
    <row r="7" customFormat="false" ht="15" hidden="false" customHeight="false" outlineLevel="0" collapsed="false">
      <c r="A7" s="1"/>
      <c r="B7" s="5" t="s">
        <v>38</v>
      </c>
      <c r="C7" s="14" t="n">
        <v>12</v>
      </c>
      <c r="D7" s="15" t="s">
        <v>39</v>
      </c>
    </row>
    <row r="8" customFormat="false" ht="15" hidden="false" customHeight="false" outlineLevel="0" collapsed="false">
      <c r="A8" s="1"/>
      <c r="B8" s="5" t="s">
        <v>40</v>
      </c>
      <c r="C8" s="16" t="n">
        <v>1150000</v>
      </c>
      <c r="D8" s="15" t="s">
        <v>41</v>
      </c>
    </row>
    <row r="9" customFormat="false" ht="15" hidden="false" customHeight="false" outlineLevel="0" collapsed="false">
      <c r="A9" s="1"/>
      <c r="B9" s="5" t="s">
        <v>42</v>
      </c>
      <c r="C9" s="17" t="n">
        <v>250</v>
      </c>
      <c r="D9" s="15" t="s">
        <v>43</v>
      </c>
    </row>
    <row r="10" customFormat="false" ht="15" hidden="false" customHeight="false" outlineLevel="0" collapsed="false">
      <c r="A10" s="1"/>
      <c r="B10" s="5" t="s">
        <v>44</v>
      </c>
      <c r="C10" s="16" t="n">
        <v>5400</v>
      </c>
      <c r="D10" s="15" t="s">
        <v>45</v>
      </c>
    </row>
    <row r="11" customFormat="false" ht="15" hidden="false" customHeight="false" outlineLevel="0" collapsed="false">
      <c r="A11" s="1"/>
      <c r="B11" s="4" t="s">
        <v>46</v>
      </c>
      <c r="C11" s="4"/>
      <c r="D11" s="4"/>
    </row>
    <row r="12" customFormat="false" ht="15" hidden="false" customHeight="false" outlineLevel="0" collapsed="false">
      <c r="A12" s="1"/>
      <c r="B12" s="5" t="s">
        <v>47</v>
      </c>
      <c r="C12" s="18" t="n">
        <v>0.05</v>
      </c>
      <c r="D12" s="15" t="s">
        <v>48</v>
      </c>
    </row>
    <row r="13" customFormat="false" ht="15" hidden="false" customHeight="false" outlineLevel="0" collapsed="false">
      <c r="A13" s="1"/>
      <c r="B13" s="5" t="s">
        <v>49</v>
      </c>
      <c r="C13" s="18" t="n">
        <v>0</v>
      </c>
      <c r="D13" s="15" t="s">
        <v>50</v>
      </c>
    </row>
    <row r="14" customFormat="false" ht="15" hidden="false" customHeight="false" outlineLevel="0" collapsed="false">
      <c r="A14" s="1"/>
      <c r="B14" s="4" t="s">
        <v>51</v>
      </c>
      <c r="C14" s="4"/>
      <c r="D14" s="4"/>
    </row>
    <row r="15" customFormat="false" ht="15" hidden="false" customHeight="false" outlineLevel="0" collapsed="false">
      <c r="A15" s="1"/>
      <c r="B15" s="5" t="s">
        <v>52</v>
      </c>
      <c r="C15" s="18" t="n">
        <v>1</v>
      </c>
      <c r="D15" s="15" t="s">
        <v>53</v>
      </c>
    </row>
    <row r="16" customFormat="false" ht="15" hidden="false" customHeight="false" outlineLevel="0" collapsed="false">
      <c r="A16" s="1"/>
      <c r="B16" s="5" t="s">
        <v>54</v>
      </c>
      <c r="C16" s="18" t="n">
        <v>0</v>
      </c>
      <c r="D16" s="15"/>
    </row>
    <row r="17" customFormat="false" ht="15" hidden="false" customHeight="false" outlineLevel="0" collapsed="false">
      <c r="A17" s="1"/>
      <c r="B17" s="5" t="s">
        <v>55</v>
      </c>
      <c r="C17" s="18" t="n">
        <v>0</v>
      </c>
      <c r="D17" s="15"/>
    </row>
    <row r="18" customFormat="false" ht="15" hidden="false" customHeight="false" outlineLevel="0" collapsed="false">
      <c r="A18" s="1"/>
      <c r="B18" s="5" t="s">
        <v>56</v>
      </c>
      <c r="C18" s="18" t="n">
        <v>0</v>
      </c>
      <c r="D18" s="15"/>
    </row>
    <row r="19" customFormat="false" ht="15" hidden="false" customHeight="false" outlineLevel="0" collapsed="false">
      <c r="A19" s="1"/>
      <c r="B19" s="5" t="s">
        <v>57</v>
      </c>
      <c r="C19" s="18" t="n">
        <v>0</v>
      </c>
      <c r="D19" s="15"/>
    </row>
    <row r="20" customFormat="false" ht="15" hidden="false" customHeight="false" outlineLevel="0" collapsed="false">
      <c r="A20" s="1"/>
      <c r="B20" s="4" t="s">
        <v>58</v>
      </c>
      <c r="C20" s="4"/>
      <c r="D20" s="4"/>
    </row>
    <row r="21" customFormat="false" ht="15" hidden="false" customHeight="false" outlineLevel="0" collapsed="false">
      <c r="A21" s="1"/>
      <c r="B21" s="5" t="s">
        <v>59</v>
      </c>
      <c r="C21" s="7" t="n">
        <f aca="false">'المقارنات السعرية'!G27</f>
        <v>5746.20274991378</v>
      </c>
      <c r="D21" s="15" t="s">
        <v>60</v>
      </c>
    </row>
    <row r="22" customFormat="false" ht="15" hidden="false" customHeight="false" outlineLevel="0" collapsed="false">
      <c r="A22" s="1"/>
      <c r="B22" s="5" t="s">
        <v>61</v>
      </c>
      <c r="C22" s="18" t="n">
        <v>0.05</v>
      </c>
      <c r="D22" s="15" t="s">
        <v>62</v>
      </c>
    </row>
    <row r="23" customFormat="false" ht="15" hidden="false" customHeight="false" outlineLevel="0" collapsed="false">
      <c r="A23" s="1"/>
      <c r="B23" s="5" t="s">
        <v>63</v>
      </c>
      <c r="C23" s="18" t="n">
        <v>0</v>
      </c>
      <c r="D23" s="15" t="s">
        <v>64</v>
      </c>
    </row>
    <row r="24" customFormat="false" ht="15" hidden="false" customHeight="false" outlineLevel="0" collapsed="false">
      <c r="A24" s="1"/>
      <c r="B24" s="5" t="s">
        <v>65</v>
      </c>
      <c r="C24" s="19" t="n">
        <v>2</v>
      </c>
      <c r="D24" s="15" t="s">
        <v>66</v>
      </c>
    </row>
    <row r="25" customFormat="false" ht="15" hidden="false" customHeight="false" outlineLevel="0" collapsed="false">
      <c r="A25" s="1"/>
      <c r="B25" s="5" t="s">
        <v>67</v>
      </c>
      <c r="C25" s="20" t="n">
        <f aca="false">C21*(1-C22)*(1+C23)^C24</f>
        <v>5458.89261241809</v>
      </c>
      <c r="D25" s="15" t="s">
        <v>68</v>
      </c>
    </row>
    <row r="26" customFormat="false" ht="15" hidden="false" customHeight="false" outlineLevel="0" collapsed="false">
      <c r="A26" s="1"/>
      <c r="B26" s="5" t="s">
        <v>69</v>
      </c>
      <c r="C26" s="18" t="n">
        <v>0.025</v>
      </c>
      <c r="D26" s="15" t="s">
        <v>70</v>
      </c>
    </row>
    <row r="27" customFormat="false" ht="15" hidden="false" customHeight="false" outlineLevel="0" collapsed="false">
      <c r="A27" s="1"/>
      <c r="B27" s="5" t="s">
        <v>71</v>
      </c>
      <c r="C27" s="18" t="n">
        <v>0.05</v>
      </c>
      <c r="D27" s="15" t="s">
        <v>72</v>
      </c>
    </row>
    <row r="28" customFormat="false" ht="15" hidden="false" customHeight="false" outlineLevel="0" collapsed="false">
      <c r="A28" s="1"/>
      <c r="B28" s="4" t="s">
        <v>73</v>
      </c>
      <c r="C28" s="4"/>
      <c r="D28" s="4"/>
    </row>
    <row r="29" customFormat="false" ht="15" hidden="false" customHeight="false" outlineLevel="0" collapsed="false">
      <c r="A29" s="1"/>
      <c r="B29" s="5" t="s">
        <v>74</v>
      </c>
      <c r="C29" s="16" t="n">
        <v>70000</v>
      </c>
      <c r="D29" s="15" t="s">
        <v>75</v>
      </c>
    </row>
    <row r="30" customFormat="false" ht="15" hidden="false" customHeight="false" outlineLevel="0" collapsed="false">
      <c r="A30" s="1"/>
      <c r="B30" s="5" t="s">
        <v>76</v>
      </c>
      <c r="C30" s="18" t="n">
        <v>0.95</v>
      </c>
      <c r="D30" s="15" t="s">
        <v>77</v>
      </c>
    </row>
    <row r="31" customFormat="false" ht="15" hidden="false" customHeight="false" outlineLevel="0" collapsed="false">
      <c r="A31" s="1"/>
      <c r="B31" s="5" t="s">
        <v>78</v>
      </c>
      <c r="C31" s="18" t="n">
        <v>0.07</v>
      </c>
      <c r="D31" s="15" t="s">
        <v>79</v>
      </c>
    </row>
    <row r="32" customFormat="false" ht="15" hidden="false" customHeight="false" outlineLevel="0" collapsed="false">
      <c r="A32" s="1"/>
      <c r="B32" s="21" t="s">
        <v>80</v>
      </c>
      <c r="C32" s="21" t="str">
        <f aca="false">IF(ROUND(SUM(C15:C19),4)=1,"صحيح","خطأ – المجموع لا يساوي 100%")</f>
        <v>صحيح</v>
      </c>
      <c r="D32" s="1"/>
    </row>
  </sheetData>
  <mergeCells count="5">
    <mergeCell ref="B6:D6"/>
    <mergeCell ref="B11:D11"/>
    <mergeCell ref="B14:D14"/>
    <mergeCell ref="B20:D20"/>
    <mergeCell ref="B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8" min="7" style="0" width="14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21.6" hidden="false" customHeight="false" outlineLevel="0" collapsed="false">
      <c r="A2" s="1"/>
      <c r="B2" s="2" t="s">
        <v>81</v>
      </c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A3" s="1"/>
      <c r="B3" s="3" t="s">
        <v>82</v>
      </c>
      <c r="C3" s="1"/>
      <c r="D3" s="1"/>
      <c r="E3" s="1"/>
      <c r="F3" s="1"/>
      <c r="G3" s="1"/>
      <c r="H3" s="1"/>
      <c r="I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</row>
    <row r="5" customFormat="false" ht="15" hidden="false" customHeight="false" outlineLevel="0" collapsed="false">
      <c r="A5" s="1"/>
      <c r="B5" s="13" t="s">
        <v>83</v>
      </c>
      <c r="C5" s="13" t="s">
        <v>84</v>
      </c>
      <c r="D5" s="13" t="s">
        <v>85</v>
      </c>
      <c r="E5" s="13" t="s">
        <v>86</v>
      </c>
      <c r="F5" s="13" t="s">
        <v>87</v>
      </c>
      <c r="G5" s="13" t="s">
        <v>88</v>
      </c>
      <c r="H5" s="13" t="s">
        <v>89</v>
      </c>
      <c r="I5" s="13" t="s">
        <v>90</v>
      </c>
    </row>
    <row r="6" customFormat="false" ht="15" hidden="false" customHeight="false" outlineLevel="0" collapsed="false">
      <c r="A6" s="1"/>
      <c r="B6" s="22" t="n">
        <v>1</v>
      </c>
      <c r="C6" s="22" t="s">
        <v>91</v>
      </c>
      <c r="D6" s="5" t="s">
        <v>92</v>
      </c>
      <c r="E6" s="23" t="n">
        <v>225</v>
      </c>
      <c r="F6" s="24" t="n">
        <v>1200000</v>
      </c>
      <c r="G6" s="20" t="n">
        <f aca="false">IFERROR(F6/E6,0)</f>
        <v>5333.33333333333</v>
      </c>
      <c r="H6" s="22" t="s">
        <v>93</v>
      </c>
      <c r="I6" s="25" t="s">
        <v>94</v>
      </c>
    </row>
    <row r="7" customFormat="false" ht="15" hidden="false" customHeight="false" outlineLevel="0" collapsed="false">
      <c r="A7" s="1"/>
      <c r="B7" s="22" t="n">
        <v>2</v>
      </c>
      <c r="C7" s="22" t="s">
        <v>91</v>
      </c>
      <c r="D7" s="5" t="s">
        <v>95</v>
      </c>
      <c r="E7" s="23" t="n">
        <v>220</v>
      </c>
      <c r="F7" s="24" t="n">
        <v>1200000</v>
      </c>
      <c r="G7" s="20" t="n">
        <f aca="false">IFERROR(F7/E7,0)</f>
        <v>5454.54545454546</v>
      </c>
      <c r="H7" s="22" t="s">
        <v>96</v>
      </c>
      <c r="I7" s="25" t="s">
        <v>97</v>
      </c>
    </row>
    <row r="8" customFormat="false" ht="15" hidden="false" customHeight="false" outlineLevel="0" collapsed="false">
      <c r="A8" s="1"/>
      <c r="B8" s="22" t="n">
        <v>3</v>
      </c>
      <c r="C8" s="22" t="s">
        <v>91</v>
      </c>
      <c r="D8" s="5" t="s">
        <v>98</v>
      </c>
      <c r="E8" s="23" t="n">
        <v>188</v>
      </c>
      <c r="F8" s="24" t="n">
        <v>1200000</v>
      </c>
      <c r="G8" s="20" t="n">
        <f aca="false">IFERROR(F8/E8,0)</f>
        <v>6382.97872340426</v>
      </c>
      <c r="H8" s="22" t="s">
        <v>99</v>
      </c>
      <c r="I8" s="25" t="s">
        <v>100</v>
      </c>
    </row>
    <row r="9" customFormat="false" ht="15" hidden="false" customHeight="false" outlineLevel="0" collapsed="false">
      <c r="A9" s="1"/>
      <c r="B9" s="22" t="n">
        <v>4</v>
      </c>
      <c r="C9" s="22" t="s">
        <v>91</v>
      </c>
      <c r="D9" s="5" t="s">
        <v>101</v>
      </c>
      <c r="E9" s="23" t="n">
        <v>215</v>
      </c>
      <c r="F9" s="24" t="n">
        <v>1250000</v>
      </c>
      <c r="G9" s="20" t="n">
        <f aca="false">IFERROR(F9/E9,0)</f>
        <v>5813.95348837209</v>
      </c>
      <c r="H9" s="22" t="s">
        <v>99</v>
      </c>
      <c r="I9" s="25" t="s">
        <v>102</v>
      </c>
    </row>
    <row r="10" customFormat="false" ht="15" hidden="false" customHeight="false" outlineLevel="0" collapsed="false">
      <c r="A10" s="1"/>
      <c r="B10" s="22" t="n">
        <v>5</v>
      </c>
      <c r="C10" s="22" t="s">
        <v>103</v>
      </c>
      <c r="D10" s="5" t="s">
        <v>104</v>
      </c>
      <c r="E10" s="23" t="n">
        <v>257</v>
      </c>
      <c r="F10" s="24" t="n">
        <v>1250000</v>
      </c>
      <c r="G10" s="20" t="n">
        <f aca="false">IFERROR(F10/E10,0)</f>
        <v>4863.81322957198</v>
      </c>
      <c r="H10" s="22" t="s">
        <v>99</v>
      </c>
      <c r="I10" s="25" t="s">
        <v>105</v>
      </c>
    </row>
    <row r="11" customFormat="false" ht="15" hidden="false" customHeight="false" outlineLevel="0" collapsed="false">
      <c r="A11" s="1"/>
      <c r="B11" s="22" t="n">
        <v>6</v>
      </c>
      <c r="C11" s="22" t="s">
        <v>103</v>
      </c>
      <c r="D11" s="5" t="s">
        <v>106</v>
      </c>
      <c r="E11" s="23" t="n">
        <v>260</v>
      </c>
      <c r="F11" s="24" t="n">
        <v>900000</v>
      </c>
      <c r="G11" s="20" t="n">
        <f aca="false">IFERROR(F11/E11,0)</f>
        <v>3461.53846153846</v>
      </c>
      <c r="H11" s="22" t="s">
        <v>99</v>
      </c>
      <c r="I11" s="25" t="s">
        <v>107</v>
      </c>
    </row>
    <row r="12" customFormat="false" ht="15" hidden="false" customHeight="false" outlineLevel="0" collapsed="false">
      <c r="A12" s="1"/>
      <c r="B12" s="22" t="n">
        <v>7</v>
      </c>
      <c r="C12" s="22" t="s">
        <v>103</v>
      </c>
      <c r="D12" s="5" t="s">
        <v>108</v>
      </c>
      <c r="E12" s="23" t="n">
        <v>236.97</v>
      </c>
      <c r="F12" s="24" t="n">
        <v>850000</v>
      </c>
      <c r="G12" s="20" t="n">
        <f aca="false">IFERROR(F12/E12,0)</f>
        <v>3586.95193484407</v>
      </c>
      <c r="H12" s="22" t="s">
        <v>99</v>
      </c>
      <c r="I12" s="25" t="s">
        <v>109</v>
      </c>
    </row>
    <row r="13" customFormat="false" ht="15" hidden="false" customHeight="false" outlineLevel="0" collapsed="false">
      <c r="A13" s="1"/>
      <c r="B13" s="22" t="n">
        <v>8</v>
      </c>
      <c r="C13" s="22" t="s">
        <v>103</v>
      </c>
      <c r="D13" s="5" t="s">
        <v>110</v>
      </c>
      <c r="E13" s="23" t="n">
        <v>288</v>
      </c>
      <c r="F13" s="24" t="n">
        <v>1080000</v>
      </c>
      <c r="G13" s="20" t="n">
        <f aca="false">IFERROR(F13/E13,0)</f>
        <v>3750</v>
      </c>
      <c r="H13" s="22" t="s">
        <v>111</v>
      </c>
      <c r="I13" s="25" t="s">
        <v>112</v>
      </c>
    </row>
    <row r="14" customFormat="false" ht="15" hidden="false" customHeight="false" outlineLevel="0" collapsed="false">
      <c r="A14" s="1"/>
      <c r="B14" s="22" t="n">
        <v>9</v>
      </c>
      <c r="C14" s="22" t="s">
        <v>113</v>
      </c>
      <c r="D14" s="5" t="s">
        <v>114</v>
      </c>
      <c r="E14" s="23" t="n">
        <v>220</v>
      </c>
      <c r="F14" s="24" t="n">
        <v>1100000</v>
      </c>
      <c r="G14" s="20" t="n">
        <f aca="false">IFERROR(F14/E14,0)</f>
        <v>5000</v>
      </c>
      <c r="H14" s="22" t="s">
        <v>99</v>
      </c>
      <c r="I14" s="25" t="s">
        <v>115</v>
      </c>
    </row>
    <row r="15" customFormat="false" ht="15" hidden="false" customHeight="false" outlineLevel="0" collapsed="false">
      <c r="A15" s="1"/>
      <c r="B15" s="22" t="n">
        <v>10</v>
      </c>
      <c r="C15" s="22" t="s">
        <v>113</v>
      </c>
      <c r="D15" s="5" t="s">
        <v>116</v>
      </c>
      <c r="E15" s="23" t="n">
        <v>180</v>
      </c>
      <c r="F15" s="24" t="n">
        <v>1150000</v>
      </c>
      <c r="G15" s="20" t="n">
        <f aca="false">IFERROR(F15/E15,0)</f>
        <v>6388.88888888889</v>
      </c>
      <c r="H15" s="22" t="s">
        <v>99</v>
      </c>
      <c r="I15" s="25" t="s">
        <v>117</v>
      </c>
    </row>
    <row r="16" customFormat="false" ht="15" hidden="false" customHeight="false" outlineLevel="0" collapsed="false">
      <c r="A16" s="1"/>
      <c r="B16" s="22" t="n">
        <v>11</v>
      </c>
      <c r="C16" s="22" t="s">
        <v>113</v>
      </c>
      <c r="D16" s="5" t="s">
        <v>118</v>
      </c>
      <c r="E16" s="23" t="n">
        <v>260</v>
      </c>
      <c r="F16" s="24" t="n">
        <v>1500000</v>
      </c>
      <c r="G16" s="20" t="n">
        <f aca="false">IFERROR(F16/E16,0)</f>
        <v>5769.23076923077</v>
      </c>
      <c r="H16" s="22" t="s">
        <v>99</v>
      </c>
      <c r="I16" s="25" t="s">
        <v>119</v>
      </c>
    </row>
    <row r="17" customFormat="false" ht="15" hidden="false" customHeight="false" outlineLevel="0" collapsed="false">
      <c r="A17" s="1"/>
      <c r="B17" s="22" t="n">
        <v>12</v>
      </c>
      <c r="C17" s="22" t="s">
        <v>113</v>
      </c>
      <c r="D17" s="5" t="s">
        <v>120</v>
      </c>
      <c r="E17" s="23" t="n">
        <v>163.64</v>
      </c>
      <c r="F17" s="24" t="n">
        <v>920000</v>
      </c>
      <c r="G17" s="20" t="n">
        <f aca="false">IFERROR(F17/E17,0)</f>
        <v>5622.09728672696</v>
      </c>
      <c r="H17" s="22" t="s">
        <v>99</v>
      </c>
      <c r="I17" s="25" t="s">
        <v>121</v>
      </c>
    </row>
    <row r="18" customFormat="false" ht="15" hidden="false" customHeight="false" outlineLevel="0" collapsed="false">
      <c r="A18" s="1"/>
      <c r="B18" s="22" t="n">
        <v>13</v>
      </c>
      <c r="C18" s="22" t="s">
        <v>122</v>
      </c>
      <c r="D18" s="5" t="s">
        <v>123</v>
      </c>
      <c r="E18" s="23" t="n">
        <v>253.5</v>
      </c>
      <c r="F18" s="24" t="n">
        <v>1550000</v>
      </c>
      <c r="G18" s="20" t="n">
        <f aca="false">IFERROR(F18/E18,0)</f>
        <v>6114.39842209073</v>
      </c>
      <c r="H18" s="22" t="s">
        <v>99</v>
      </c>
      <c r="I18" s="25" t="s">
        <v>124</v>
      </c>
    </row>
    <row r="19" customFormat="false" ht="15" hidden="false" customHeight="false" outlineLevel="0" collapsed="false">
      <c r="A19" s="1"/>
      <c r="B19" s="22" t="n">
        <v>14</v>
      </c>
      <c r="C19" s="22" t="s">
        <v>122</v>
      </c>
      <c r="D19" s="5" t="s">
        <v>125</v>
      </c>
      <c r="E19" s="23" t="n">
        <v>251.51</v>
      </c>
      <c r="F19" s="24" t="n">
        <v>1800000</v>
      </c>
      <c r="G19" s="20" t="n">
        <f aca="false">IFERROR(F19/E19,0)</f>
        <v>7156.77309053318</v>
      </c>
      <c r="H19" s="22" t="s">
        <v>99</v>
      </c>
      <c r="I19" s="25" t="s">
        <v>126</v>
      </c>
    </row>
    <row r="20" customFormat="false" ht="15" hidden="false" customHeight="false" outlineLevel="0" collapsed="false">
      <c r="A20" s="1"/>
      <c r="B20" s="26" t="s">
        <v>127</v>
      </c>
      <c r="C20" s="26" t="s">
        <v>91</v>
      </c>
      <c r="D20" s="27" t="s">
        <v>128</v>
      </c>
      <c r="E20" s="28" t="n">
        <f aca="false">الافتراضات!$C$9</f>
        <v>250</v>
      </c>
      <c r="F20" s="10" t="n">
        <f aca="false">الافتراضات!$C$8</f>
        <v>1150000</v>
      </c>
      <c r="G20" s="29" t="n">
        <f aca="false">IFERROR(F20/E20,0)</f>
        <v>4600</v>
      </c>
      <c r="H20" s="26" t="s">
        <v>129</v>
      </c>
      <c r="I20" s="30" t="s">
        <v>130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</row>
    <row r="23" customFormat="false" ht="16.15" hidden="false" customHeight="false" outlineLevel="0" collapsed="false">
      <c r="A23" s="1"/>
      <c r="B23" s="4" t="s">
        <v>131</v>
      </c>
      <c r="C23" s="4"/>
      <c r="D23" s="4"/>
      <c r="E23" s="4"/>
      <c r="F23" s="4"/>
      <c r="G23" s="4"/>
      <c r="H23" s="4"/>
      <c r="I23" s="4"/>
    </row>
    <row r="24" customFormat="false" ht="26.85" hidden="false" customHeight="false" outlineLevel="0" collapsed="false">
      <c r="A24" s="1"/>
      <c r="B24" s="1"/>
      <c r="C24" s="13" t="s">
        <v>84</v>
      </c>
      <c r="D24" s="13" t="s">
        <v>132</v>
      </c>
      <c r="E24" s="13" t="s">
        <v>133</v>
      </c>
      <c r="F24" s="13" t="s">
        <v>134</v>
      </c>
      <c r="G24" s="13" t="s">
        <v>135</v>
      </c>
      <c r="H24" s="1"/>
      <c r="I24" s="1"/>
    </row>
    <row r="25" customFormat="false" ht="15" hidden="false" customHeight="false" outlineLevel="0" collapsed="false">
      <c r="A25" s="1"/>
      <c r="B25" s="1"/>
      <c r="C25" s="31" t="s">
        <v>103</v>
      </c>
      <c r="D25" s="32" t="n">
        <f aca="false">COUNTIF($C$6:$C$19,C25)</f>
        <v>4</v>
      </c>
      <c r="E25" s="20" t="n">
        <f aca="false">IFERROR(AVERAGEIF($C$6:$C$19,C25,$F$6:$F$19),0)</f>
        <v>1020000</v>
      </c>
      <c r="F25" s="33" t="n">
        <f aca="false">IFERROR(AVERAGEIF($C$6:$C$19,C25,$E$6:$E$19),0)</f>
        <v>260.4925</v>
      </c>
      <c r="G25" s="34" t="n">
        <f aca="false">IFERROR(AVERAGEIF($C$6:$C$19,C25,$G$6:$G$19),0)</f>
        <v>3915.57590648863</v>
      </c>
      <c r="H25" s="1"/>
      <c r="I25" s="1"/>
    </row>
    <row r="26" customFormat="false" ht="15" hidden="false" customHeight="false" outlineLevel="0" collapsed="false">
      <c r="A26" s="1"/>
      <c r="B26" s="1"/>
      <c r="C26" s="31" t="s">
        <v>113</v>
      </c>
      <c r="D26" s="32" t="n">
        <f aca="false">COUNTIF($C$6:$C$19,C26)</f>
        <v>4</v>
      </c>
      <c r="E26" s="20" t="n">
        <f aca="false">IFERROR(AVERAGEIF($C$6:$C$19,C26,$F$6:$F$19),0)</f>
        <v>1167500</v>
      </c>
      <c r="F26" s="33" t="n">
        <f aca="false">IFERROR(AVERAGEIF($C$6:$C$19,C26,$E$6:$E$19),0)</f>
        <v>205.91</v>
      </c>
      <c r="G26" s="34" t="n">
        <f aca="false">IFERROR(AVERAGEIF($C$6:$C$19,C26,$G$6:$G$19),0)</f>
        <v>5695.05423621166</v>
      </c>
      <c r="H26" s="1"/>
      <c r="I26" s="1"/>
    </row>
    <row r="27" customFormat="false" ht="15" hidden="false" customHeight="false" outlineLevel="0" collapsed="false">
      <c r="A27" s="1"/>
      <c r="B27" s="1"/>
      <c r="C27" s="31" t="s">
        <v>91</v>
      </c>
      <c r="D27" s="32" t="n">
        <f aca="false">COUNTIF($C$6:$C$19,C27)</f>
        <v>4</v>
      </c>
      <c r="E27" s="20" t="n">
        <f aca="false">IFERROR(AVERAGEIF($C$6:$C$19,C27,$F$6:$F$19),0)</f>
        <v>1212500</v>
      </c>
      <c r="F27" s="33" t="n">
        <f aca="false">IFERROR(AVERAGEIF($C$6:$C$19,C27,$E$6:$E$19),0)</f>
        <v>212</v>
      </c>
      <c r="G27" s="34" t="n">
        <f aca="false">IFERROR(AVERAGEIF($C$6:$C$19,C27,$G$6:$G$19),0)</f>
        <v>5746.20274991378</v>
      </c>
      <c r="H27" s="1"/>
      <c r="I27" s="1"/>
    </row>
    <row r="28" customFormat="false" ht="15" hidden="false" customHeight="false" outlineLevel="0" collapsed="false">
      <c r="A28" s="1"/>
      <c r="B28" s="1"/>
      <c r="C28" s="31" t="s">
        <v>122</v>
      </c>
      <c r="D28" s="32" t="n">
        <f aca="false">COUNTIF($C$6:$C$19,C28)</f>
        <v>2</v>
      </c>
      <c r="E28" s="20" t="n">
        <f aca="false">IFERROR(AVERAGEIF($C$6:$C$19,C28,$F$6:$F$19),0)</f>
        <v>1675000</v>
      </c>
      <c r="F28" s="33" t="n">
        <f aca="false">IFERROR(AVERAGEIF($C$6:$C$19,C28,$E$6:$E$19),0)</f>
        <v>252.505</v>
      </c>
      <c r="G28" s="34" t="n">
        <f aca="false">IFERROR(AVERAGEIF($C$6:$C$19,C28,$G$6:$G$19),0)</f>
        <v>6635.58575631196</v>
      </c>
      <c r="H28" s="1"/>
      <c r="I28" s="1"/>
    </row>
    <row r="29" customFormat="false" ht="15" hidden="false" customHeight="false" outlineLevel="0" collapsed="false">
      <c r="A29" s="1"/>
      <c r="B29" s="1"/>
      <c r="C29" s="35" t="s">
        <v>136</v>
      </c>
      <c r="D29" s="36" t="n">
        <f aca="false">COUNT($F$6:$F$19)</f>
        <v>14</v>
      </c>
      <c r="E29" s="37" t="n">
        <f aca="false">AVERAGE($F$6:$F$19)</f>
        <v>1210714.28571429</v>
      </c>
      <c r="F29" s="38" t="n">
        <f aca="false">AVERAGE($E$6:$E$19)</f>
        <v>229.901428571429</v>
      </c>
      <c r="G29" s="37" t="n">
        <f aca="false">AVERAGE($G$6:$G$19)</f>
        <v>5335.60736307716</v>
      </c>
      <c r="H29" s="1"/>
      <c r="I29" s="1"/>
    </row>
    <row r="30" customFormat="false" ht="26.85" hidden="false" customHeight="false" outlineLevel="0" collapsed="false">
      <c r="A30" s="1"/>
      <c r="B30" s="1"/>
      <c r="C30" s="26" t="s">
        <v>137</v>
      </c>
      <c r="D30" s="39" t="n">
        <f aca="false">الافتراضات!$C$7</f>
        <v>12</v>
      </c>
      <c r="E30" s="29" t="n">
        <f aca="false">F20</f>
        <v>1150000</v>
      </c>
      <c r="F30" s="40" t="n">
        <f aca="false">E20</f>
        <v>250</v>
      </c>
      <c r="G30" s="29" t="n">
        <f aca="false">G20</f>
        <v>4600</v>
      </c>
      <c r="H30" s="1"/>
      <c r="I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</row>
    <row r="32" customFormat="false" ht="16.15" hidden="false" customHeight="false" outlineLevel="0" collapsed="false">
      <c r="A32" s="1"/>
      <c r="B32" s="4" t="s">
        <v>138</v>
      </c>
      <c r="C32" s="4"/>
      <c r="D32" s="4"/>
      <c r="E32" s="4"/>
      <c r="F32" s="4"/>
      <c r="G32" s="4"/>
      <c r="H32" s="4"/>
      <c r="I32" s="4"/>
    </row>
    <row r="33" customFormat="false" ht="15" hidden="false" customHeight="true" outlineLevel="0" collapsed="false">
      <c r="A33" s="1"/>
      <c r="B33" s="1"/>
      <c r="C33" s="21" t="s">
        <v>139</v>
      </c>
      <c r="D33" s="21"/>
      <c r="E33" s="21"/>
      <c r="F33" s="21"/>
      <c r="G33" s="41" t="n">
        <f aca="false">IFERROR(1-G30/G27,0)</f>
        <v>0.199471337820612</v>
      </c>
      <c r="H33" s="1"/>
      <c r="I33" s="1"/>
    </row>
    <row r="34" customFormat="false" ht="15" hidden="false" customHeight="true" outlineLevel="0" collapsed="false">
      <c r="A34" s="1"/>
      <c r="B34" s="1"/>
      <c r="C34" s="21" t="s">
        <v>140</v>
      </c>
      <c r="D34" s="21"/>
      <c r="E34" s="21"/>
      <c r="F34" s="21"/>
      <c r="G34" s="41" t="n">
        <f aca="false">IFERROR(1-G30/G29,0)</f>
        <v>0.137867596511621</v>
      </c>
      <c r="H34" s="1"/>
      <c r="I34" s="1"/>
    </row>
    <row r="35" customFormat="false" ht="15" hidden="false" customHeight="true" outlineLevel="0" collapsed="false">
      <c r="A35" s="1"/>
      <c r="B35" s="1"/>
      <c r="C35" s="21" t="s">
        <v>141</v>
      </c>
      <c r="D35" s="21"/>
      <c r="E35" s="21"/>
      <c r="F35" s="21"/>
      <c r="G35" s="41" t="n">
        <f aca="false">IFERROR(1-G30/الافتراضات!$C$10,0)</f>
        <v>0.148148148148148</v>
      </c>
      <c r="H35" s="1"/>
      <c r="I35" s="1"/>
    </row>
    <row r="36" customFormat="false" ht="15" hidden="false" customHeight="true" outlineLevel="0" collapsed="false">
      <c r="A36" s="1"/>
      <c r="B36" s="1"/>
      <c r="C36" s="21" t="s">
        <v>142</v>
      </c>
      <c r="D36" s="21"/>
      <c r="E36" s="21"/>
      <c r="F36" s="21"/>
      <c r="G36" s="42" t="n">
        <f aca="false">RANK(G20,$G$6:$G$20,1)</f>
        <v>4</v>
      </c>
      <c r="H36" s="1"/>
      <c r="I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</row>
    <row r="38" customFormat="false" ht="15" hidden="false" customHeight="true" outlineLevel="0" collapsed="false">
      <c r="A38" s="1"/>
      <c r="B38" s="1"/>
      <c r="C38" s="12" t="s">
        <v>143</v>
      </c>
      <c r="D38" s="12"/>
      <c r="E38" s="12"/>
      <c r="F38" s="12"/>
      <c r="G38" s="12"/>
      <c r="H38" s="12"/>
      <c r="I38" s="12"/>
    </row>
    <row r="39" customFormat="false" ht="15" hidden="false" customHeight="false" outlineLevel="0" collapsed="false">
      <c r="A39" s="1"/>
      <c r="B39" s="1"/>
      <c r="C39" s="12"/>
      <c r="D39" s="12"/>
      <c r="E39" s="12"/>
      <c r="F39" s="12"/>
      <c r="G39" s="12"/>
      <c r="H39" s="12"/>
      <c r="I39" s="12"/>
    </row>
  </sheetData>
  <mergeCells count="7">
    <mergeCell ref="B23:I23"/>
    <mergeCell ref="B32:I32"/>
    <mergeCell ref="C33:F33"/>
    <mergeCell ref="C34:F34"/>
    <mergeCell ref="C35:F35"/>
    <mergeCell ref="C36:F36"/>
    <mergeCell ref="C38:I39"/>
  </mergeCells>
  <hyperlinks>
    <hyperlink ref="I6" r:id="rId1" display="https://haraj.com.sa/en/11164555558/"/>
    <hyperlink ref="I7" r:id="rId2" display="https://haraj.com.sa/11151387860/"/>
    <hyperlink ref="I8" r:id="rId3" display="https://www.bayut.sa/en/property/details-87578604.html"/>
    <hyperlink ref="I9" r:id="rId4" display="https://www.bayut.sa/en/for-sale/villas/riyadh/east-riyadh/al-qadisiyah/"/>
    <hyperlink ref="I10" r:id="rId5" display="https://haraj.com.sa/en/11175408706/"/>
    <hyperlink ref="I11" r:id="rId6" display="https://haraj.com.sa/en/11174873787/"/>
    <hyperlink ref="I12" r:id="rId7" display="https://dwelleo.sa/ar/properties/townhouse-for-sale-in-ghsoon-al-janadriyah-east-riyadh"/>
    <hyperlink ref="I13" r:id="rId8" display="https://www.tiktok.com/@realestateprofessionals1/video/7581007983971208455"/>
    <hyperlink ref="I14" r:id="rId9" display="https://haraj.com.sa/11171394967/"/>
    <hyperlink ref="I15" r:id="rId10" display="https://haraj.com.sa/11146243086/"/>
    <hyperlink ref="I16" r:id="rId11" display="https://www.alolayanholding.sa/properties/48919"/>
    <hyperlink ref="I17" r:id="rId12" display="https://dealapp.sa/ad-details/401927"/>
    <hyperlink ref="I18" r:id="rId13" display="https://www.propertyfinder.sa/ar/plp/للبيع/شقة-للبيع-الرياض-الرياض-اليرموك-255167.html"/>
    <hyperlink ref="I19" r:id="rId14" display="https://haraj.com.sa/en/11166554307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7" min="3" style="0" width="16"/>
    <col collapsed="false" customWidth="true" hidden="false" outlineLevel="0" max="8" min="8" style="0" width="1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21.6" hidden="false" customHeight="false" outlineLevel="0" collapsed="false">
      <c r="A2" s="1"/>
      <c r="B2" s="2" t="s">
        <v>144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1"/>
      <c r="B4" s="4" t="s">
        <v>145</v>
      </c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1"/>
      <c r="B5" s="5" t="s">
        <v>146</v>
      </c>
      <c r="C5" s="20" t="n">
        <f aca="false">الافتراضات!$C$7*الافتراضات!$C$8</f>
        <v>13800000</v>
      </c>
      <c r="D5" s="1"/>
      <c r="E5" s="1"/>
      <c r="F5" s="1"/>
      <c r="G5" s="1"/>
      <c r="H5" s="1"/>
    </row>
    <row r="6" customFormat="false" ht="15" hidden="false" customHeight="false" outlineLevel="0" collapsed="false">
      <c r="A6" s="1"/>
      <c r="B6" s="5" t="s">
        <v>147</v>
      </c>
      <c r="C6" s="20" t="n">
        <f aca="false">C5*(الافتراضات!$C$12+الافتراضات!$C$13)</f>
        <v>690000</v>
      </c>
      <c r="D6" s="1"/>
      <c r="E6" s="1"/>
      <c r="F6" s="1"/>
      <c r="G6" s="1"/>
      <c r="H6" s="1"/>
    </row>
    <row r="7" customFormat="false" ht="15" hidden="false" customHeight="false" outlineLevel="0" collapsed="false">
      <c r="A7" s="1"/>
      <c r="B7" s="21" t="s">
        <v>148</v>
      </c>
      <c r="C7" s="34" t="n">
        <f aca="false">C5+C6</f>
        <v>14490000</v>
      </c>
      <c r="D7" s="1"/>
      <c r="E7" s="1"/>
      <c r="F7" s="1"/>
      <c r="G7" s="1"/>
      <c r="H7" s="1"/>
    </row>
    <row r="8" customFormat="false" ht="15" hidden="false" customHeight="false" outlineLevel="0" collapsed="false">
      <c r="A8" s="1"/>
      <c r="B8" s="5" t="s">
        <v>149</v>
      </c>
      <c r="C8" s="20" t="n">
        <f aca="false">الافتراضات!$C$7*الافتراضات!$C$9*الافتراضات!$C$10</f>
        <v>16200000</v>
      </c>
      <c r="D8" s="1"/>
      <c r="E8" s="1"/>
      <c r="F8" s="1"/>
      <c r="G8" s="1"/>
      <c r="H8" s="1"/>
    </row>
    <row r="9" customFormat="false" ht="15" hidden="false" customHeight="false" outlineLevel="0" collapsed="false">
      <c r="A9" s="1"/>
      <c r="B9" s="5" t="s">
        <v>150</v>
      </c>
      <c r="C9" s="20" t="n">
        <f aca="false">الافتراضات!$C$7*الافتراضات!$C$9*الافتراضات!$C$21</f>
        <v>17238608.2497414</v>
      </c>
      <c r="D9" s="1"/>
      <c r="E9" s="1"/>
      <c r="F9" s="1"/>
      <c r="G9" s="1"/>
      <c r="H9" s="1"/>
    </row>
    <row r="10" customFormat="false" ht="15" hidden="false" customHeight="false" outlineLevel="0" collapsed="false">
      <c r="A10" s="1"/>
      <c r="B10" s="21" t="s">
        <v>151</v>
      </c>
      <c r="C10" s="29" t="n">
        <f aca="false">C9-C5</f>
        <v>3438608.24974135</v>
      </c>
      <c r="D10" s="1"/>
      <c r="E10" s="1"/>
      <c r="F10" s="1"/>
      <c r="G10" s="1"/>
      <c r="H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1"/>
    </row>
    <row r="12" customFormat="false" ht="15" hidden="false" customHeight="false" outlineLevel="0" collapsed="false">
      <c r="A12" s="1"/>
      <c r="B12" s="4" t="s">
        <v>152</v>
      </c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1"/>
      <c r="B13" s="13" t="s">
        <v>34</v>
      </c>
      <c r="C13" s="13" t="s">
        <v>153</v>
      </c>
      <c r="D13" s="13" t="s">
        <v>154</v>
      </c>
      <c r="E13" s="13" t="s">
        <v>155</v>
      </c>
      <c r="F13" s="13" t="s">
        <v>156</v>
      </c>
      <c r="G13" s="13" t="s">
        <v>157</v>
      </c>
      <c r="H13" s="13" t="s">
        <v>158</v>
      </c>
    </row>
    <row r="14" customFormat="false" ht="15" hidden="false" customHeight="false" outlineLevel="0" collapsed="false">
      <c r="A14" s="1"/>
      <c r="B14" s="5" t="s">
        <v>159</v>
      </c>
      <c r="C14" s="20" t="n">
        <f aca="false">-الافتراضات!$C$15*$C$5</f>
        <v>-13800000</v>
      </c>
      <c r="D14" s="20" t="n">
        <f aca="false">-الافتراضات!$C$16*$C$5</f>
        <v>-0</v>
      </c>
      <c r="E14" s="20" t="n">
        <f aca="false">-الافتراضات!$C$17*$C$5</f>
        <v>-0</v>
      </c>
      <c r="F14" s="20" t="n">
        <f aca="false">-الافتراضات!$C$18*$C$5</f>
        <v>-0</v>
      </c>
      <c r="G14" s="20" t="n">
        <f aca="false">-الافتراضات!$C$19*$C$5</f>
        <v>-0</v>
      </c>
      <c r="H14" s="34" t="n">
        <f aca="false">SUM(C14:G14)</f>
        <v>-13800000</v>
      </c>
    </row>
    <row r="15" customFormat="false" ht="15" hidden="false" customHeight="false" outlineLevel="0" collapsed="false">
      <c r="A15" s="1"/>
      <c r="B15" s="5" t="s">
        <v>160</v>
      </c>
      <c r="C15" s="20" t="n">
        <f aca="false">IF(0=0,-$C$6,0)</f>
        <v>-690000</v>
      </c>
      <c r="D15" s="20" t="n">
        <f aca="false">IF(1=0,-$C$6,0)</f>
        <v>0</v>
      </c>
      <c r="E15" s="20" t="n">
        <f aca="false">IF(2=0,-$C$6,0)</f>
        <v>0</v>
      </c>
      <c r="F15" s="20" t="n">
        <f aca="false">IF(3=0,-$C$6,0)</f>
        <v>0</v>
      </c>
      <c r="G15" s="20" t="n">
        <f aca="false">IF(4=0,-$C$6,0)</f>
        <v>0</v>
      </c>
      <c r="H15" s="34" t="n">
        <f aca="false">SUM(C15:G15)</f>
        <v>-690000</v>
      </c>
    </row>
    <row r="16" customFormat="false" ht="15" hidden="false" customHeight="false" outlineLevel="0" collapsed="false">
      <c r="A16" s="1"/>
      <c r="B16" s="5" t="s">
        <v>161</v>
      </c>
      <c r="C16" s="20" t="n">
        <f aca="false">IF(0*0.5=ROUND(الافتراضات!$C$24,1),الافتراضات!$C$7*الافتراضات!$C$9*الافتراضات!$C$25,0)</f>
        <v>0</v>
      </c>
      <c r="D16" s="20" t="n">
        <f aca="false">IF(1*0.5=ROUND(الافتراضات!$C$24,1),الافتراضات!$C$7*الافتراضات!$C$9*الافتراضات!$C$25,0)</f>
        <v>0</v>
      </c>
      <c r="E16" s="20" t="n">
        <f aca="false">IF(2*0.5=ROUND(الافتراضات!$C$24,1),الافتراضات!$C$7*الافتراضات!$C$9*الافتراضات!$C$25,0)</f>
        <v>0</v>
      </c>
      <c r="F16" s="20" t="n">
        <f aca="false">IF(3*0.5=ROUND(الافتراضات!$C$24,1),الافتراضات!$C$7*الافتراضات!$C$9*الافتراضات!$C$25,0)</f>
        <v>0</v>
      </c>
      <c r="G16" s="20" t="n">
        <f aca="false">IF(4*0.5=ROUND(الافتراضات!$C$24,1),الافتراضات!$C$7*الافتراضات!$C$9*الافتراضات!$C$25,0)</f>
        <v>16376677.8372543</v>
      </c>
      <c r="H16" s="34" t="n">
        <f aca="false">SUM(C16:G16)</f>
        <v>16376677.8372543</v>
      </c>
    </row>
    <row r="17" customFormat="false" ht="15" hidden="false" customHeight="false" outlineLevel="0" collapsed="false">
      <c r="A17" s="1"/>
      <c r="B17" s="5" t="s">
        <v>162</v>
      </c>
      <c r="C17" s="20" t="n">
        <f aca="false">-C16*(الافتراضات!$C$26+الافتراضات!$C$27)</f>
        <v>-0</v>
      </c>
      <c r="D17" s="20" t="n">
        <f aca="false">-D16*(الافتراضات!$C$26+الافتراضات!$C$27)</f>
        <v>-0</v>
      </c>
      <c r="E17" s="20" t="n">
        <f aca="false">-E16*(الافتراضات!$C$26+الافتراضات!$C$27)</f>
        <v>-0</v>
      </c>
      <c r="F17" s="20" t="n">
        <f aca="false">-F16*(الافتراضات!$C$26+الافتراضات!$C$27)</f>
        <v>-0</v>
      </c>
      <c r="G17" s="20" t="n">
        <f aca="false">-G16*(الافتراضات!$C$26+الافتراضات!$C$27)</f>
        <v>-1228250.83779407</v>
      </c>
      <c r="H17" s="34" t="n">
        <f aca="false">SUM(C17:G17)</f>
        <v>-1228250.83779407</v>
      </c>
    </row>
    <row r="18" customFormat="false" ht="15" hidden="false" customHeight="false" outlineLevel="0" collapsed="false">
      <c r="A18" s="1"/>
      <c r="B18" s="21" t="s">
        <v>163</v>
      </c>
      <c r="C18" s="37" t="n">
        <f aca="false">SUM(C14:C17)</f>
        <v>-14490000</v>
      </c>
      <c r="D18" s="37" t="n">
        <f aca="false">SUM(D14:D17)</f>
        <v>0</v>
      </c>
      <c r="E18" s="37" t="n">
        <f aca="false">SUM(E14:E17)</f>
        <v>0</v>
      </c>
      <c r="F18" s="37" t="n">
        <f aca="false">SUM(F14:F17)</f>
        <v>0</v>
      </c>
      <c r="G18" s="37" t="n">
        <f aca="false">SUM(G14:G17)</f>
        <v>15148426.9994602</v>
      </c>
      <c r="H18" s="37" t="n">
        <f aca="false">SUM(C18:G18)</f>
        <v>658426.999460213</v>
      </c>
    </row>
    <row r="19" customFormat="false" ht="15" hidden="false" customHeight="false" outlineLevel="0" collapsed="false">
      <c r="A19" s="1"/>
      <c r="B19" s="5" t="s">
        <v>164</v>
      </c>
      <c r="C19" s="20" t="n">
        <f aca="false">SUM($C$18:C18)</f>
        <v>-14490000</v>
      </c>
      <c r="D19" s="20" t="n">
        <f aca="false">SUM($C$18:D18)</f>
        <v>-14490000</v>
      </c>
      <c r="E19" s="20" t="n">
        <f aca="false">SUM($C$18:E18)</f>
        <v>-14490000</v>
      </c>
      <c r="F19" s="20" t="n">
        <f aca="false">SUM($C$18:F18)</f>
        <v>-14490000</v>
      </c>
      <c r="G19" s="20" t="n">
        <f aca="false">SUM($C$18:G18)</f>
        <v>658426.999460213</v>
      </c>
      <c r="H19" s="34" t="n">
        <f aca="false">G19</f>
        <v>658426.999460213</v>
      </c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</row>
    <row r="21" customFormat="false" ht="15" hidden="false" customHeight="false" outlineLevel="0" collapsed="false">
      <c r="A21" s="1"/>
      <c r="B21" s="4" t="s">
        <v>165</v>
      </c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1"/>
      <c r="B22" s="21" t="s">
        <v>166</v>
      </c>
      <c r="C22" s="29" t="n">
        <f aca="false">H18</f>
        <v>658426.999460213</v>
      </c>
      <c r="D22" s="1"/>
      <c r="E22" s="1"/>
      <c r="F22" s="1"/>
      <c r="G22" s="1"/>
      <c r="H22" s="1"/>
    </row>
    <row r="23" customFormat="false" ht="15" hidden="false" customHeight="false" outlineLevel="0" collapsed="false">
      <c r="A23" s="1"/>
      <c r="B23" s="21" t="s">
        <v>167</v>
      </c>
      <c r="C23" s="41" t="n">
        <f aca="false">IFERROR(H18/-SUMIF(C18:G18,"&lt;0"),0)</f>
        <v>0.0454400965811051</v>
      </c>
      <c r="D23" s="1"/>
      <c r="E23" s="1"/>
      <c r="F23" s="1"/>
      <c r="G23" s="1"/>
      <c r="H23" s="1"/>
    </row>
    <row r="24" customFormat="false" ht="15" hidden="false" customHeight="false" outlineLevel="0" collapsed="false">
      <c r="A24" s="1"/>
      <c r="B24" s="21" t="s">
        <v>22</v>
      </c>
      <c r="C24" s="41" t="n">
        <f aca="false">IFERROR(C23/الافتراضات!$C$24,0)</f>
        <v>0.0227200482905526</v>
      </c>
      <c r="D24" s="1"/>
      <c r="E24" s="1"/>
      <c r="F24" s="1"/>
      <c r="G24" s="1"/>
      <c r="H24" s="1"/>
    </row>
    <row r="25" customFormat="false" ht="15" hidden="false" customHeight="false" outlineLevel="0" collapsed="false">
      <c r="A25" s="1"/>
      <c r="B25" s="21" t="s">
        <v>168</v>
      </c>
      <c r="C25" s="41" t="n">
        <f aca="false">IFERROR((1+IRR(C18:G18))^2-1,0)</f>
        <v>0.0224676506281774</v>
      </c>
      <c r="D25" s="1"/>
      <c r="E25" s="1"/>
      <c r="F25" s="1"/>
      <c r="G25" s="1"/>
      <c r="H25" s="1"/>
    </row>
    <row r="26" customFormat="false" ht="15" hidden="false" customHeight="false" outlineLevel="0" collapsed="false">
      <c r="A26" s="1"/>
      <c r="B26" s="21" t="s">
        <v>169</v>
      </c>
      <c r="C26" s="29" t="n">
        <f aca="false">IFERROR(C7/(1-الافتراضات!$C$26-الافتراضات!$C$27)/(الافتراضات!$C$7*الافتراضات!$C$9),0)</f>
        <v>5221.62162162162</v>
      </c>
      <c r="D26" s="1"/>
      <c r="E26" s="1"/>
      <c r="F26" s="1"/>
      <c r="G26" s="1"/>
      <c r="H26" s="1"/>
    </row>
    <row r="27" customFormat="false" ht="15" hidden="false" customHeight="false" outlineLevel="0" collapsed="false">
      <c r="A27" s="1"/>
      <c r="B27" s="21" t="s">
        <v>170</v>
      </c>
      <c r="C27" s="41" t="n">
        <f aca="false">IFERROR(1-C26/الافتراضات!$C$21,0)</f>
        <v>0.0912917888774518</v>
      </c>
      <c r="D27" s="1"/>
      <c r="E27" s="1"/>
      <c r="F27" s="1"/>
      <c r="G27" s="1"/>
      <c r="H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</row>
    <row r="29" customFormat="false" ht="15" hidden="false" customHeight="false" outlineLevel="0" collapsed="false">
      <c r="A29" s="1"/>
      <c r="B29" s="4" t="s">
        <v>171</v>
      </c>
      <c r="C29" s="4"/>
      <c r="D29" s="4"/>
      <c r="E29" s="4"/>
      <c r="F29" s="4"/>
      <c r="G29" s="4"/>
      <c r="H29" s="4"/>
    </row>
    <row r="30" customFormat="false" ht="26.85" hidden="false" customHeight="false" outlineLevel="0" collapsed="false">
      <c r="A30" s="1"/>
      <c r="B30" s="13" t="s">
        <v>172</v>
      </c>
      <c r="C30" s="13" t="s">
        <v>173</v>
      </c>
      <c r="D30" s="13" t="s">
        <v>174</v>
      </c>
      <c r="E30" s="13" t="s">
        <v>18</v>
      </c>
      <c r="F30" s="13" t="s">
        <v>20</v>
      </c>
      <c r="G30" s="13" t="s">
        <v>24</v>
      </c>
      <c r="H30" s="1"/>
    </row>
    <row r="31" customFormat="false" ht="15" hidden="false" customHeight="false" outlineLevel="0" collapsed="false">
      <c r="A31" s="1"/>
      <c r="B31" s="43" t="n">
        <v>4800</v>
      </c>
      <c r="C31" s="20" t="n">
        <f aca="false">الافتراضات!$C$7*الافتراضات!$C$9*B31</f>
        <v>14400000</v>
      </c>
      <c r="D31" s="20" t="n">
        <f aca="false">C31*(1-الافتراضات!$C$26-الافتراضات!$C$27)</f>
        <v>13320000</v>
      </c>
      <c r="E31" s="34" t="n">
        <f aca="false">D31-$C$7</f>
        <v>-1170000</v>
      </c>
      <c r="F31" s="44" t="n">
        <f aca="false">IFERROR(E31/$C$7,0)</f>
        <v>-0.080745341614907</v>
      </c>
      <c r="G31" s="44" t="n">
        <f aca="false">IFERROR((D31/$C$7)^(1/الافتراضات!$C$24)-1,0)</f>
        <v>-0.0412223102381382</v>
      </c>
      <c r="H31" s="1"/>
    </row>
    <row r="32" customFormat="false" ht="15" hidden="false" customHeight="false" outlineLevel="0" collapsed="false">
      <c r="A32" s="1"/>
      <c r="B32" s="43" t="n">
        <v>5000</v>
      </c>
      <c r="C32" s="20" t="n">
        <f aca="false">الافتراضات!$C$7*الافتراضات!$C$9*B32</f>
        <v>15000000</v>
      </c>
      <c r="D32" s="20" t="n">
        <f aca="false">C32*(1-الافتراضات!$C$26-الافتراضات!$C$27)</f>
        <v>13875000</v>
      </c>
      <c r="E32" s="34" t="n">
        <f aca="false">D32-$C$7</f>
        <v>-615000.000000002</v>
      </c>
      <c r="F32" s="44" t="n">
        <f aca="false">IFERROR(E32/$C$7,0)</f>
        <v>-0.0424430641821948</v>
      </c>
      <c r="G32" s="44" t="n">
        <f aca="false">IFERROR((D32/$C$7)^(1/الافتراضات!$C$24)-1,0)</f>
        <v>-0.0214516180495697</v>
      </c>
      <c r="H32" s="1"/>
    </row>
    <row r="33" customFormat="false" ht="15" hidden="false" customHeight="false" outlineLevel="0" collapsed="false">
      <c r="A33" s="1"/>
      <c r="B33" s="43" t="n">
        <v>5200</v>
      </c>
      <c r="C33" s="20" t="n">
        <f aca="false">الافتراضات!$C$7*الافتراضات!$C$9*B33</f>
        <v>15600000</v>
      </c>
      <c r="D33" s="20" t="n">
        <f aca="false">C33*(1-الافتراضات!$C$26-الافتراضات!$C$27)</f>
        <v>14430000</v>
      </c>
      <c r="E33" s="34" t="n">
        <f aca="false">D33-$C$7</f>
        <v>-60000.0000000019</v>
      </c>
      <c r="F33" s="44" t="n">
        <f aca="false">IFERROR(E33/$C$7,0)</f>
        <v>-0.00414078674948253</v>
      </c>
      <c r="G33" s="44" t="n">
        <f aca="false">IFERROR((D33/$C$7)^(1/الافتراضات!$C$24)-1,0)</f>
        <v>-0.00207254108802202</v>
      </c>
      <c r="H33" s="1"/>
    </row>
    <row r="34" customFormat="false" ht="15" hidden="false" customHeight="false" outlineLevel="0" collapsed="false">
      <c r="A34" s="1"/>
      <c r="B34" s="43" t="n">
        <v>5400</v>
      </c>
      <c r="C34" s="20" t="n">
        <f aca="false">الافتراضات!$C$7*الافتراضات!$C$9*B34</f>
        <v>16200000</v>
      </c>
      <c r="D34" s="20" t="n">
        <f aca="false">C34*(1-الافتراضات!$C$26-الافتراضات!$C$27)</f>
        <v>14985000</v>
      </c>
      <c r="E34" s="34" t="n">
        <f aca="false">D34-$C$7</f>
        <v>494999.999999998</v>
      </c>
      <c r="F34" s="44" t="n">
        <f aca="false">IFERROR(E34/$C$7,0)</f>
        <v>0.0341614906832297</v>
      </c>
      <c r="G34" s="44" t="n">
        <f aca="false">IFERROR((D34/$C$7)^(1/الافتراضات!$C$24)-1,0)</f>
        <v>0.0169373091214766</v>
      </c>
      <c r="H34" s="1"/>
    </row>
    <row r="35" customFormat="false" ht="15" hidden="false" customHeight="false" outlineLevel="0" collapsed="false">
      <c r="A35" s="1"/>
      <c r="B35" s="43" t="n">
        <v>5600</v>
      </c>
      <c r="C35" s="20" t="n">
        <f aca="false">الافتراضات!$C$7*الافتراضات!$C$9*B35</f>
        <v>16800000</v>
      </c>
      <c r="D35" s="20" t="n">
        <f aca="false">C35*(1-الافتراضات!$C$26-الافتراضات!$C$27)</f>
        <v>15540000</v>
      </c>
      <c r="E35" s="34" t="n">
        <f aca="false">D35-$C$7</f>
        <v>1050000</v>
      </c>
      <c r="F35" s="44" t="n">
        <f aca="false">IFERROR(E35/$C$7,0)</f>
        <v>0.0724637681159419</v>
      </c>
      <c r="G35" s="44" t="n">
        <f aca="false">IFERROR((D35/$C$7)^(1/الافتراضات!$C$24)-1,0)</f>
        <v>0.035598265794194</v>
      </c>
      <c r="H35" s="1"/>
    </row>
    <row r="36" customFormat="false" ht="15" hidden="false" customHeight="false" outlineLevel="0" collapsed="false">
      <c r="A36" s="1"/>
      <c r="B36" s="43" t="n">
        <v>5800</v>
      </c>
      <c r="C36" s="20" t="n">
        <f aca="false">الافتراضات!$C$7*الافتراضات!$C$9*B36</f>
        <v>17400000</v>
      </c>
      <c r="D36" s="20" t="n">
        <f aca="false">C36*(1-الافتراضات!$C$26-الافتراضات!$C$27)</f>
        <v>16095000</v>
      </c>
      <c r="E36" s="34" t="n">
        <f aca="false">D36-$C$7</f>
        <v>1605000</v>
      </c>
      <c r="F36" s="44" t="n">
        <f aca="false">IFERROR(E36/$C$7,0)</f>
        <v>0.110766045548654</v>
      </c>
      <c r="G36" s="44" t="n">
        <f aca="false">IFERROR((D36/$C$7)^(1/الافتراضات!$C$24)-1,0)</f>
        <v>0.0539288617115741</v>
      </c>
      <c r="H36" s="1"/>
    </row>
    <row r="37" customFormat="false" ht="15" hidden="false" customHeight="false" outlineLevel="0" collapsed="false">
      <c r="A37" s="1"/>
      <c r="B37" s="43" t="n">
        <v>6000</v>
      </c>
      <c r="C37" s="20" t="n">
        <f aca="false">الافتراضات!$C$7*الافتراضات!$C$9*B37</f>
        <v>18000000</v>
      </c>
      <c r="D37" s="20" t="n">
        <f aca="false">C37*(1-الافتراضات!$C$26-الافتراضات!$C$27)</f>
        <v>16650000</v>
      </c>
      <c r="E37" s="34" t="n">
        <f aca="false">D37-$C$7</f>
        <v>2160000</v>
      </c>
      <c r="F37" s="44" t="n">
        <f aca="false">IFERROR(E37/$C$7,0)</f>
        <v>0.149068322981366</v>
      </c>
      <c r="G37" s="44" t="n">
        <f aca="false">IFERROR((D37/$C$7)^(1/الافتراضات!$C$24)-1,0)</f>
        <v>0.0719460448088636</v>
      </c>
      <c r="H37" s="1"/>
    </row>
    <row r="38" customFormat="false" ht="15" hidden="false" customHeight="false" outlineLevel="0" collapsed="false">
      <c r="A38" s="1"/>
      <c r="B38" s="43" t="n">
        <v>6200</v>
      </c>
      <c r="C38" s="20" t="n">
        <f aca="false">الافتراضات!$C$7*الافتراضات!$C$9*B38</f>
        <v>18600000</v>
      </c>
      <c r="D38" s="20" t="n">
        <f aca="false">C38*(1-الافتراضات!$C$26-الافتراضات!$C$27)</f>
        <v>17205000</v>
      </c>
      <c r="E38" s="34" t="n">
        <f aca="false">D38-$C$7</f>
        <v>2715000</v>
      </c>
      <c r="F38" s="44" t="n">
        <f aca="false">IFERROR(E38/$C$7,0)</f>
        <v>0.187370600414079</v>
      </c>
      <c r="G38" s="44" t="n">
        <f aca="false">IFERROR((D38/$C$7)^(1/الافتراضات!$C$24)-1,0)</f>
        <v>0.0896653616657175</v>
      </c>
      <c r="H38" s="1"/>
    </row>
    <row r="39" customFormat="false" ht="15" hidden="false" customHeight="false" outlineLevel="0" collapsed="false">
      <c r="A39" s="1"/>
      <c r="B39" s="3" t="s">
        <v>175</v>
      </c>
      <c r="C39" s="1"/>
      <c r="D39" s="1"/>
      <c r="E39" s="1"/>
      <c r="F39" s="1"/>
      <c r="G39" s="1"/>
      <c r="H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</row>
    <row r="41" customFormat="false" ht="15" hidden="false" customHeight="false" outlineLevel="0" collapsed="false">
      <c r="A41" s="1"/>
      <c r="B41" s="4" t="s">
        <v>176</v>
      </c>
      <c r="C41" s="4"/>
      <c r="D41" s="4"/>
      <c r="E41" s="4"/>
      <c r="F41" s="4"/>
      <c r="G41" s="4"/>
      <c r="H41" s="4"/>
    </row>
    <row r="42" customFormat="false" ht="15" hidden="false" customHeight="false" outlineLevel="0" collapsed="false">
      <c r="A42" s="1"/>
      <c r="B42" s="5" t="s">
        <v>177</v>
      </c>
      <c r="C42" s="34" t="n">
        <f aca="false">الافتراضات!$C$7*الافتراضات!$C$29</f>
        <v>840000</v>
      </c>
      <c r="D42" s="1"/>
      <c r="E42" s="1"/>
      <c r="F42" s="1"/>
      <c r="G42" s="1"/>
      <c r="H42" s="1"/>
    </row>
    <row r="43" customFormat="false" ht="15" hidden="false" customHeight="false" outlineLevel="0" collapsed="false">
      <c r="A43" s="1"/>
      <c r="B43" s="5" t="s">
        <v>178</v>
      </c>
      <c r="C43" s="34" t="n">
        <f aca="false">C42*الافتراضات!$C$30</f>
        <v>798000</v>
      </c>
      <c r="D43" s="1"/>
      <c r="E43" s="1"/>
      <c r="F43" s="1"/>
      <c r="G43" s="1"/>
      <c r="H43" s="1"/>
    </row>
    <row r="44" customFormat="false" ht="15" hidden="false" customHeight="false" outlineLevel="0" collapsed="false">
      <c r="A44" s="1"/>
      <c r="B44" s="21" t="s">
        <v>179</v>
      </c>
      <c r="C44" s="34" t="n">
        <f aca="false">C43*(1-الافتراضات!$C$31)</f>
        <v>742140</v>
      </c>
      <c r="D44" s="1"/>
      <c r="E44" s="1"/>
      <c r="F44" s="1"/>
      <c r="G44" s="1"/>
      <c r="H44" s="1"/>
    </row>
    <row r="45" customFormat="false" ht="15" hidden="false" customHeight="false" outlineLevel="0" collapsed="false">
      <c r="A45" s="1"/>
      <c r="B45" s="5" t="s">
        <v>180</v>
      </c>
      <c r="C45" s="41" t="n">
        <f aca="false">IFERROR(C42/C5,0)</f>
        <v>0.0608695652173913</v>
      </c>
      <c r="D45" s="1"/>
      <c r="E45" s="1"/>
      <c r="F45" s="1"/>
      <c r="G45" s="1"/>
      <c r="H45" s="1"/>
    </row>
    <row r="46" customFormat="false" ht="15" hidden="false" customHeight="false" outlineLevel="0" collapsed="false">
      <c r="A46" s="1"/>
      <c r="B46" s="21" t="s">
        <v>181</v>
      </c>
      <c r="C46" s="41" t="n">
        <f aca="false">IFERROR(C44/C7,0)</f>
        <v>0.0512173913043478</v>
      </c>
      <c r="D46" s="1"/>
      <c r="E46" s="1"/>
      <c r="F46" s="1"/>
      <c r="G46" s="1"/>
      <c r="H46" s="1"/>
    </row>
    <row r="47" customFormat="false" ht="15" hidden="false" customHeight="false" outlineLevel="0" collapsed="false">
      <c r="A47" s="1"/>
      <c r="B47" s="5" t="s">
        <v>182</v>
      </c>
      <c r="C47" s="45" t="n">
        <f aca="false">IFERROR(C42/C9,0)</f>
        <v>0.0487278316109192</v>
      </c>
      <c r="D47" s="1"/>
      <c r="E47" s="1"/>
      <c r="F47" s="1"/>
      <c r="G47" s="1"/>
      <c r="H47" s="1"/>
    </row>
  </sheetData>
  <mergeCells count="5">
    <mergeCell ref="B4:H4"/>
    <mergeCell ref="B12:H12"/>
    <mergeCell ref="B21:H21"/>
    <mergeCell ref="B29:H29"/>
    <mergeCell ref="B41:H41"/>
  </mergeCells>
  <conditionalFormatting sqref="E31:E3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2026-09-30T09:50:19Z</dcterms:created>
  <dc:creator>openpyxl</dc:creator>
  <dc:description/>
  <dc:language>en-US</dc:language>
  <cp:lastModifiedBy/>
  <dcterms:modified xsi:type="dcterms:W3CDTF">2026-09-30T09:50:20Z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