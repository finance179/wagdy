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لخص المستثمر" sheetId="1" state="visible" r:id="rId3"/>
    <sheet name="مزايا المشروع" sheetId="2" state="visible" r:id="rId4"/>
    <sheet name="الافتراضات" sheetId="3" state="visible" r:id="rId5"/>
    <sheet name="المقارنات السعرية" sheetId="4" state="visible" r:id="rId6"/>
    <sheet name="العائد على المستثم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<sst xmlns="http://schemas.openxmlformats.org/spreadsheetml/2006/main" count="280" uniqueCount="250">
  <si>
    <t xml:space="preserve">فرصة استثمارية – 12 وحدة تاون هاوس | القادسية تاون هاوس (حصير) – شرق الرياض</t>
  </si>
  <si>
    <t xml:space="preserve">ملخص تنفيذي – كل الأرقام مرتبطة تلقائياً بباقي الأوراق</t>
  </si>
  <si>
    <t xml:space="preserve">العرض</t>
  </si>
  <si>
    <t xml:space="preserve">سعرنا مقابل تاون هاوس القادسية</t>
  </si>
  <si>
    <t xml:space="preserve">عدد الوحدات</t>
  </si>
  <si>
    <t xml:space="preserve">متوسط سعر التاون هاوس في القادسية</t>
  </si>
  <si>
    <t xml:space="preserve">سعر الوحدة للمستثمر</t>
  </si>
  <si>
    <t xml:space="preserve">أغلى تاون هاوس معروض في القادسية</t>
  </si>
  <si>
    <t xml:space="preserve">مساحة الوحدة (4 مستويات) م²</t>
  </si>
  <si>
    <t xml:space="preserve">وحدات القادسية المرصودة الأغلى من سعرنا</t>
  </si>
  <si>
    <t xml:space="preserve">سعر المتر على إجمالي المساحة</t>
  </si>
  <si>
    <t xml:space="preserve">خصمنا عن متوسط سعر وحدة القادسية</t>
  </si>
  <si>
    <t xml:space="preserve">إجمالي قيمة الصفقة</t>
  </si>
  <si>
    <t xml:space="preserve">متوسط مساحة تاون هاوس القادسية م²</t>
  </si>
  <si>
    <t xml:space="preserve">إجمالي التكلفة شاملة ضريبة التصرفات</t>
  </si>
  <si>
    <t xml:space="preserve">مكسب فوري مقابل سعر البيع للأفراد (12 وحدة)</t>
  </si>
  <si>
    <t xml:space="preserve">العائد – البيع بعد التسليم (سعر الأفراد)</t>
  </si>
  <si>
    <t xml:space="preserve">العائد – التأجير</t>
  </si>
  <si>
    <t xml:space="preserve">صافي الربح</t>
  </si>
  <si>
    <t xml:space="preserve">إيجار سنوي إجمالي (12 وحدة)</t>
  </si>
  <si>
    <t xml:space="preserve">ROI الكلي</t>
  </si>
  <si>
    <t xml:space="preserve">صافي الدخل السنوي</t>
  </si>
  <si>
    <t xml:space="preserve">IRR السنوي</t>
  </si>
  <si>
    <t xml:space="preserve">العائد الإيجاري الإجمالي</t>
  </si>
  <si>
    <t xml:space="preserve">صافي الربح لو تحمل المطور ضريبة الشراء</t>
  </si>
  <si>
    <t xml:space="preserve">صافي العائد الإيجاري</t>
  </si>
  <si>
    <t xml:space="preserve">ROI لو تحمل المطور ضريبة الشراء</t>
  </si>
  <si>
    <t xml:space="preserve">العائد الإيجاري لمن يشتري بمتوسط السوق</t>
  </si>
  <si>
    <t xml:space="preserve">لماذا هذه الصفقة؟</t>
  </si>
  <si>
    <t xml:space="preserve">• مواصفات لا تتوفر في أغلب المعروض: مصعد خاص يخدم كل الأدوار، قبو بموقف سيارة خاص ومجلس، سطح وملحق خاص، 4 غرف نوم + غرفة خادمة، 5 دورات مياه.</t>
  </si>
  <si>
    <t xml:space="preserve">• وحدة كاملة مستقلة من القبو للسطح – وليست نظام أدوار (أرضي/علوي) مثل أغلب التاون هاوس المعروض.</t>
  </si>
  <si>
    <t xml:space="preserve">• موقع على بعد دقيقتين من طريق الشيخ جابر و5 دقائق من طريقي الأمير محمد بن سلمان والملك عبدالله و20 دقيقة من المطار.</t>
  </si>
  <si>
    <t xml:space="preserve">• المطور حصير: 311 وحدة منفذة وأكثر من 600 وحدة مستهدفة في 7 مشاريع.</t>
  </si>
  <si>
    <t xml:space="preserve">تنبيه: المقارنات أسعار عرض من منصات الإعلانات (بحث 30/9/2026) وليست صفقات منفذة، والعوائد تقديرية حسب الافتراضات المعلنة وليست ضماناً.</t>
  </si>
  <si>
    <t xml:space="preserve">لماذا وحدتنا أفضل؟ – مقارنة المواصفات مع تاون هاوس القادسية المعروضة</t>
  </si>
  <si>
    <t xml:space="preserve">المواصفات من بروشور مشروع حصير – تاون هاوس القادسية، ومواصفات السوق من نصوص الإعلانات المرصودة في ورقة المقارنات</t>
  </si>
  <si>
    <t xml:space="preserve">الميزة</t>
  </si>
  <si>
    <t xml:space="preserve">وحدتنا (حصير)</t>
  </si>
  <si>
    <t xml:space="preserve">التاون هاوس المعروض في القادسية</t>
  </si>
  <si>
    <t xml:space="preserve">الأثر على المستثمر / المشتري</t>
  </si>
  <si>
    <t xml:space="preserve">نظام الوحدة</t>
  </si>
  <si>
    <t xml:space="preserve">وحدة كاملة مستقلة من القبو إلى السطح</t>
  </si>
  <si>
    <t xml:space="preserve">أغلبها أدوار (أرضي / علوي) يتقاسمان المبنى</t>
  </si>
  <si>
    <t xml:space="preserve">خصوصية كاملة وملكية مستقلة = سهولة بيع وتأجير لعائلة واحدة</t>
  </si>
  <si>
    <t xml:space="preserve">عدد المستويات</t>
  </si>
  <si>
    <t xml:space="preserve">4 (قبو + أرضي + أول + ملحق وسطح)</t>
  </si>
  <si>
    <t xml:space="preserve">2 – 3 أدوار</t>
  </si>
  <si>
    <t xml:space="preserve">مساحة معيشة أكبر بنفس السعر</t>
  </si>
  <si>
    <t xml:space="preserve">إجمالي المساحة</t>
  </si>
  <si>
    <t xml:space="preserve">مساحة أكبر من متوسط القادسية</t>
  </si>
  <si>
    <t xml:space="preserve">مصعد خاص</t>
  </si>
  <si>
    <t xml:space="preserve">✓ مصعد خاص يخدم جميع الأدوار</t>
  </si>
  <si>
    <t xml:space="preserve">غالباً "مؤسس" فقط أو للعلوي فقط</t>
  </si>
  <si>
    <t xml:space="preserve">ميزة نادرة تستهدف كبار السن والعائلات – تكلفة تركيبها لاحقاً على المشتري</t>
  </si>
  <si>
    <t xml:space="preserve">موقف السيارة</t>
  </si>
  <si>
    <t xml:space="preserve">✓ موقف خاص داخل القبو</t>
  </si>
  <si>
    <t xml:space="preserve">موقف أمام المبنى / غير مذكور</t>
  </si>
  <si>
    <t xml:space="preserve">حماية للسيارة وخصوصية – ميزة تسويقية قوية</t>
  </si>
  <si>
    <t xml:space="preserve">مجلس / صالة ترفيهية بالقبو</t>
  </si>
  <si>
    <t xml:space="preserve">✓</t>
  </si>
  <si>
    <t xml:space="preserve">غير متوفر غالباً</t>
  </si>
  <si>
    <t xml:space="preserve">مساحة ضيافة إضافية دون التأثير على مساحة المعيشة</t>
  </si>
  <si>
    <t xml:space="preserve">غرف النوم</t>
  </si>
  <si>
    <t xml:space="preserve">4 غرف (ماستر + 2 بالأول + غرفة بالملحق) + غرفة خادمة</t>
  </si>
  <si>
    <t xml:space="preserve">3 – 4 غرف</t>
  </si>
  <si>
    <t xml:space="preserve">تناسب العائلات الكبيرة = طلب أعلى</t>
  </si>
  <si>
    <t xml:space="preserve">دورات المياه</t>
  </si>
  <si>
    <t xml:space="preserve">5 دورات مياه</t>
  </si>
  <si>
    <t xml:space="preserve">2 – 4</t>
  </si>
  <si>
    <t xml:space="preserve">راحة أعلى وقيمة إيجارية أعلى</t>
  </si>
  <si>
    <t xml:space="preserve">سطح خاص</t>
  </si>
  <si>
    <t xml:space="preserve">✓ سطح خاص مع ملحق</t>
  </si>
  <si>
    <t xml:space="preserve">متاح غالباً للعلوي فقط</t>
  </si>
  <si>
    <t xml:space="preserve">مساحة خارجية خاصة لكل وحدة</t>
  </si>
  <si>
    <t xml:space="preserve">التصميم</t>
  </si>
  <si>
    <t xml:space="preserve">واجهات مودرن وتشطيب حديث – مشروع جديد</t>
  </si>
  <si>
    <t xml:space="preserve">متفاوت، وبعضها مستعمل</t>
  </si>
  <si>
    <t xml:space="preserve">منتج جديد بضمانات المطور</t>
  </si>
  <si>
    <t xml:space="preserve">الموقع</t>
  </si>
  <si>
    <t xml:space="preserve">طريق الشيخ جابر: دقيقتان | الأمير محمد بن سلمان: 5 د | الملك عبدالله: 5 د | مطار الملك خالد: 20 د</t>
  </si>
  <si>
    <t xml:space="preserve">داخل الحي</t>
  </si>
  <si>
    <t xml:space="preserve">وصول سريع لأهم محاور الرياض</t>
  </si>
  <si>
    <t xml:space="preserve">المطور</t>
  </si>
  <si>
    <t xml:space="preserve">حصير للتطوير العقاري: 311 وحدة منفذة (2020–2023) و+600 وحدة مستهدفة في 7 مشاريع</t>
  </si>
  <si>
    <t xml:space="preserve">متفاوت – أغلب المعروض إعلانات أفراد ومكاتب</t>
  </si>
  <si>
    <t xml:space="preserve">مخاطر تنفيذ أقل وثقة أعلى للمشتري النهائي</t>
  </si>
  <si>
    <t xml:space="preserve">السعر</t>
  </si>
  <si>
    <t xml:space="preserve">مواصفات أعلى بسعر أقل = هامش ربح عند إعادة البيع أو التأجير</t>
  </si>
  <si>
    <t xml:space="preserve">"غالباً" تعني حسب ما ورد في نصوص الإعلانات المرصودة، وقد تختلف بعض الوحدات.</t>
  </si>
  <si>
    <t xml:space="preserve">الافتراضات – عرض شراء 12 وحدة تاون هاوس | القادسية تاون هاوس (حصير)</t>
  </si>
  <si>
    <t xml:space="preserve">الخلايا بالخط الأزرق والخلفية الصفراء مدخلات قابلة للتعديل – باقي النموذج يُحسب تلقائياً</t>
  </si>
  <si>
    <t xml:space="preserve">البند</t>
  </si>
  <si>
    <t xml:space="preserve">القيمة</t>
  </si>
  <si>
    <t xml:space="preserve">المصدر / ملاحظة</t>
  </si>
  <si>
    <t xml:space="preserve">أولاً | العرض والوحدة</t>
  </si>
  <si>
    <t xml:space="preserve">عدد الوحدات المعروضة</t>
  </si>
  <si>
    <t xml:space="preserve">من طلب الإدارة</t>
  </si>
  <si>
    <t xml:space="preserve">سعر الوحدة للمستثمر (ريال)</t>
  </si>
  <si>
    <t xml:space="preserve">من طلب الإدارة – سعر جملة لكامل الـ 12 وحدة</t>
  </si>
  <si>
    <t xml:space="preserve">مساحة القبو م² (مجلس + موقف خاص + مصعد)</t>
  </si>
  <si>
    <t xml:space="preserve">بروشور المشروع – مخطط B1</t>
  </si>
  <si>
    <t xml:space="preserve">مساحة الدور الأرضي م²</t>
  </si>
  <si>
    <t xml:space="preserve">بروشور المشروع – مخطط GF</t>
  </si>
  <si>
    <t xml:space="preserve">مساحة الدور الأول م²</t>
  </si>
  <si>
    <t xml:space="preserve">بروشور المشروع – مخطط 1F</t>
  </si>
  <si>
    <t xml:space="preserve">مساحة الملحق / السطح م²</t>
  </si>
  <si>
    <t xml:space="preserve">بروشور المشروع – مخطط RF</t>
  </si>
  <si>
    <t xml:space="preserve">إجمالي مساحة الوحدة م²</t>
  </si>
  <si>
    <t xml:space="preserve">إجمالي 273.64 م² حسب البروشور</t>
  </si>
  <si>
    <t xml:space="preserve">المساحة فوق الأرض (بدون القبو) م²</t>
  </si>
  <si>
    <t xml:space="preserve">للمقارنة العادلة مع وحدات السوق التي لا تحتوي قبو</t>
  </si>
  <si>
    <t xml:space="preserve">ثانياً | تكاليف الشراء</t>
  </si>
  <si>
    <t xml:space="preserve">ضريبة التصرفات العقارية عند الشراء</t>
  </si>
  <si>
    <t xml:space="preserve">5% نظاماً – ضعها 0% إذا تحملها المطور كحافز للمستثمر</t>
  </si>
  <si>
    <t xml:space="preserve">سعي / عمولة الشراء</t>
  </si>
  <si>
    <t xml:space="preserve">شراء مباشر من المطور بدون وسيط</t>
  </si>
  <si>
    <t xml:space="preserve">ثالثاً | جدول السداد (كل فترة = 6 أشهر)</t>
  </si>
  <si>
    <t xml:space="preserve">الدفعة عند التوقيع (شهر 0)</t>
  </si>
  <si>
    <t xml:space="preserve">افتراض تحفظي: سداد كامل مقدماً – التقسيط يرفع العائد</t>
  </si>
  <si>
    <t xml:space="preserve">الدفعة الثانية (شهر 6)</t>
  </si>
  <si>
    <t xml:space="preserve">الدفعة الثالثة (شهر 12)</t>
  </si>
  <si>
    <t xml:space="preserve">الدفعة الرابعة (شهر 18)</t>
  </si>
  <si>
    <t xml:space="preserve">الدفعة عند التسليم (شهر 24)</t>
  </si>
  <si>
    <t xml:space="preserve">رابعاً | سيناريو إعادة البيع بعد التسليم</t>
  </si>
  <si>
    <t xml:space="preserve">سعر بيع الوحدة للأفراد (ريال)</t>
  </si>
  <si>
    <t xml:space="preserve">دراسة المشروع: 5,400 ريال/م² × 250 م² – ويقع ضمن نطاق عروض القادسية (1.2 – 1.5 مليون)</t>
  </si>
  <si>
    <t xml:space="preserve">خصم تحفظي على سعر البيع</t>
  </si>
  <si>
    <t xml:space="preserve">عدّله لاختبار سيناريو متحفظ</t>
  </si>
  <si>
    <t xml:space="preserve">نمو سنوي في الأسعار حتى التسليم</t>
  </si>
  <si>
    <t xml:space="preserve">افتراض تحفظي = صفر</t>
  </si>
  <si>
    <t xml:space="preserve">المدة حتى التسليم والبيع (سنة)</t>
  </si>
  <si>
    <t xml:space="preserve">دراسة المشروع 22 شهراً – مقربة إلى سنتين</t>
  </si>
  <si>
    <t xml:space="preserve">سعر بيع الوحدة المتوقع عند الخروج (ريال)</t>
  </si>
  <si>
    <t xml:space="preserve">محسوب</t>
  </si>
  <si>
    <t xml:space="preserve">عمولة التسويق / السعي عند البيع</t>
  </si>
  <si>
    <t xml:space="preserve">العرف السائد 2.5%</t>
  </si>
  <si>
    <t xml:space="preserve">ضريبة التصرفات عند إعادة البيع</t>
  </si>
  <si>
    <t xml:space="preserve">5% – تحفظياً على البائع</t>
  </si>
  <si>
    <t xml:space="preserve">خامساً | سيناريو الاحتفاظ والتأجير</t>
  </si>
  <si>
    <t xml:space="preserve">الإيجار السنوي للوحدة (ريال)</t>
  </si>
  <si>
    <t xml:space="preserve">تاون هاوس 173م² بمجمع ركايا – القادسية مؤجر بـ 75,000 (حراج) ووحدتنا أكبر وبمصعد</t>
  </si>
  <si>
    <t xml:space="preserve">نسبة الإشغال</t>
  </si>
  <si>
    <t xml:space="preserve">افتراض</t>
  </si>
  <si>
    <t xml:space="preserve">مصاريف التشغيل والصيانة من الإيجار</t>
  </si>
  <si>
    <t xml:space="preserve">افتراض (إدارة أملاك + صيانة)</t>
  </si>
  <si>
    <t xml:space="preserve">تحقق: مجموع جدول السداد = 100%</t>
  </si>
  <si>
    <t xml:space="preserve">المقارنات السعرية – تاون هاوس حي القادسية فقط (شرق الرياض)</t>
  </si>
  <si>
    <t xml:space="preserve">أسعار عرض (طلب) من منصات الإعلانات – بحث بتاريخ 30 سبتمبر 2026 – حي القادسية فقط، مرتبة من الأغلى. ليست صفقات منفذة.</t>
  </si>
  <si>
    <t xml:space="preserve">#</t>
  </si>
  <si>
    <t xml:space="preserve">الحي</t>
  </si>
  <si>
    <t xml:space="preserve">الوصف</t>
  </si>
  <si>
    <t xml:space="preserve">مصعد</t>
  </si>
  <si>
    <t xml:space="preserve">قبو / موقف خاص</t>
  </si>
  <si>
    <t xml:space="preserve">المساحة م²</t>
  </si>
  <si>
    <t xml:space="preserve">السعر المعروض</t>
  </si>
  <si>
    <t xml:space="preserve">سعر المتر</t>
  </si>
  <si>
    <t xml:space="preserve">التاريخ</t>
  </si>
  <si>
    <t xml:space="preserve">المصدر</t>
  </si>
  <si>
    <t xml:space="preserve">القادسية</t>
  </si>
  <si>
    <t xml:space="preserve">تاون هاوس أرضي على شارع 20</t>
  </si>
  <si>
    <t xml:space="preserve">أرضي (أدوار)</t>
  </si>
  <si>
    <t xml:space="preserve">للعلوي فقط</t>
  </si>
  <si>
    <t xml:space="preserve">غير مذكور</t>
  </si>
  <si>
    <t xml:space="preserve">2026</t>
  </si>
  <si>
    <t xml:space="preserve">https://haraj.com.sa/11140216303/</t>
  </si>
  <si>
    <t xml:space="preserve">تاون هاوس علوي – نفس المبنى</t>
  </si>
  <si>
    <t xml:space="preserve">علوي (أدوار)</t>
  </si>
  <si>
    <t xml:space="preserve">تاون هاوس مودرن واجهة شرقية 4 غرف</t>
  </si>
  <si>
    <t xml:space="preserve">وحدة كاملة</t>
  </si>
  <si>
    <t xml:space="preserve">مؤسس فقط</t>
  </si>
  <si>
    <t xml:space="preserve">https://sa.aqar.fm/فلل-للبيع/الرياض/شرق-الرياض/حي-القادسية/تاون-هاوس</t>
  </si>
  <si>
    <t xml:space="preserve">شقة تاون هاوس دوبلكس 3 أدوار</t>
  </si>
  <si>
    <t xml:space="preserve">دوبلكس</t>
  </si>
  <si>
    <t xml:space="preserve">https://www.bayut.sa/en/for-sale/villas/riyadh/east-riyadh/al-qadisiyah/</t>
  </si>
  <si>
    <t xml:space="preserve">تاون هاوس علوي بمصعد وعداد مستقل</t>
  </si>
  <si>
    <t xml:space="preserve">مارس 2026</t>
  </si>
  <si>
    <t xml:space="preserve">https://haraj.com.sa/en/11164555558/</t>
  </si>
  <si>
    <t xml:space="preserve">فيلا تاون هاوس</t>
  </si>
  <si>
    <t xml:space="preserve">غير محدد</t>
  </si>
  <si>
    <t xml:space="preserve">أغسطس 2025</t>
  </si>
  <si>
    <t xml:space="preserve">https://haraj.com.sa/11151387860/</t>
  </si>
  <si>
    <t xml:space="preserve">تاون هاوس – شارع 30 غرب، 3 غرف</t>
  </si>
  <si>
    <t xml:space="preserve">https://www.bayut.sa/en/property/details-87578604.html</t>
  </si>
  <si>
    <t xml:space="preserve">★</t>
  </si>
  <si>
    <t xml:space="preserve">مشروعنا – القادسية تاون هاوس (حصير) – سعر المستثمر</t>
  </si>
  <si>
    <t xml:space="preserve">وحدة كاملة مستقلة 4 مستويات</t>
  </si>
  <si>
    <t xml:space="preserve">✓ يخدم كل الأدوار</t>
  </si>
  <si>
    <t xml:space="preserve">✓ قبو + موقف خاص</t>
  </si>
  <si>
    <t xml:space="preserve">عرض حالي</t>
  </si>
  <si>
    <t xml:space="preserve">بروشور المشروع + الافتراضات</t>
  </si>
  <si>
    <t xml:space="preserve">مشروعنا – محسوباً على المساحة فوق الأرض فقط (بدون القبو)</t>
  </si>
  <si>
    <t xml:space="preserve">الخلايا البرتقالية في عمود السعر = وحدات أغلى من سعرنا</t>
  </si>
  <si>
    <t xml:space="preserve">ملخص تاون هاوس القادسية مقارنة بسعرنا</t>
  </si>
  <si>
    <t xml:space="preserve">عدد العروض</t>
  </si>
  <si>
    <t xml:space="preserve">متوسط سعر الوحدة</t>
  </si>
  <si>
    <t xml:space="preserve">أعلى سعر وحدة</t>
  </si>
  <si>
    <t xml:space="preserve">متوسط المساحة م²</t>
  </si>
  <si>
    <t xml:space="preserve">متوسط سعر المتر</t>
  </si>
  <si>
    <t xml:space="preserve">مشروعنا</t>
  </si>
  <si>
    <t xml:space="preserve">أين يقف سعرنا في القادسية؟</t>
  </si>
  <si>
    <t xml:space="preserve">عدد وحدات القادسية المرصودة الأغلى من سعرنا</t>
  </si>
  <si>
    <t xml:space="preserve">سعر وحدتنا أقل من متوسط سعر الوحدة في القادسية بـ (ريال)</t>
  </si>
  <si>
    <t xml:space="preserve">نسبة الخصم عن متوسط سعر الوحدة في القادسية</t>
  </si>
  <si>
    <t xml:space="preserve">نسبة الخصم عن أغلى تاون هاوس في القادسية</t>
  </si>
  <si>
    <t xml:space="preserve">مساحتنا أكبر من متوسط مساحة القادسية بـ (م²)</t>
  </si>
  <si>
    <t xml:space="preserve">خصم سعر المتر عن متوسط القادسية (على إجمالي المساحة)</t>
  </si>
  <si>
    <t xml:space="preserve">خصم سعر المتر عن متوسط القادسية (على المساحة فوق الأرض فقط)</t>
  </si>
  <si>
    <t xml:space="preserve">ملاحظات: (1) بعض الإعلانات تذكر مساحة الأرض وبعضها مسطح البناء. (2) "غير مذكور" = الميزة لم تُذكر في نص الإعلان. (3) مشاريع مطورين أخرى في القادسية بدون أسعار معلنة: "نجد الأول" من ريبورتاج (24 تاون هاوس) و"أملا" (14 فيلا متصلة). (4) يُنصح بالتحقق الميداني قبل العرض النهائي.</t>
  </si>
  <si>
    <t xml:space="preserve">العائد على المستثمر – إعادة البيع بعد التسليم + التأجير</t>
  </si>
  <si>
    <t xml:space="preserve">أ) تكلفة الصفقة والمكسب الفوري</t>
  </si>
  <si>
    <t xml:space="preserve">قيمة الشراء (12 وحدة)</t>
  </si>
  <si>
    <t xml:space="preserve">ضريبة التصرفات + السعي عند الشراء</t>
  </si>
  <si>
    <t xml:space="preserve">إجمالي تكلفة الاستثمار</t>
  </si>
  <si>
    <t xml:space="preserve">قيمة الوحدات بسعر البيع للأفراد</t>
  </si>
  <si>
    <t xml:space="preserve">قيمة الوحدات بمتوسط سعر وحدة القادسية</t>
  </si>
  <si>
    <t xml:space="preserve">مكسب فوري مقابل سعر البيع للأفراد</t>
  </si>
  <si>
    <t xml:space="preserve">ب) التدفقات النقدية – البيع عند التسليم (فترات نصف سنوية)</t>
  </si>
  <si>
    <t xml:space="preserve">شهر 0</t>
  </si>
  <si>
    <t xml:space="preserve">شهر 6</t>
  </si>
  <si>
    <t xml:space="preserve">شهر 12</t>
  </si>
  <si>
    <t xml:space="preserve">شهر 18</t>
  </si>
  <si>
    <t xml:space="preserve">شهر 24</t>
  </si>
  <si>
    <t xml:space="preserve">الإجمالي</t>
  </si>
  <si>
    <t xml:space="preserve">دفعات الشراء</t>
  </si>
  <si>
    <t xml:space="preserve">ضريبة التصرفات والسعي (عند التوقيع)</t>
  </si>
  <si>
    <t xml:space="preserve">متحصلات بيع الوحدات</t>
  </si>
  <si>
    <t xml:space="preserve">عمولة البيع وضريبة التصرفات</t>
  </si>
  <si>
    <t xml:space="preserve">صافي التدفق النقدي</t>
  </si>
  <si>
    <t xml:space="preserve">التدفق التراكمي</t>
  </si>
  <si>
    <t xml:space="preserve">ج) مؤشرات الربحية – سيناريو البيع</t>
  </si>
  <si>
    <t xml:space="preserve">صافي الربح (ريال)</t>
  </si>
  <si>
    <t xml:space="preserve">العائد الكلي على رأس المال (ROI)</t>
  </si>
  <si>
    <t xml:space="preserve">العائد السنوي البسيط</t>
  </si>
  <si>
    <t xml:space="preserve">معدل العائد الداخلي السنوي (IRR)</t>
  </si>
  <si>
    <t xml:space="preserve">سعر بيع الوحدة للتعادل (ريال)</t>
  </si>
  <si>
    <t xml:space="preserve">هامش الأمان: انخفاض سعر البيع المسموح قبل الخسارة</t>
  </si>
  <si>
    <t xml:space="preserve">د) الحساسية – صافي الربح حسب سعر إعادة البيع ومن يتحمل ضريبة الشراء</t>
  </si>
  <si>
    <t xml:space="preserve">سعر بيع الوحدة (ريال)</t>
  </si>
  <si>
    <t xml:space="preserve">صافي الربح – المستثمر يدفع ضريبة الشراء</t>
  </si>
  <si>
    <t xml:space="preserve">ROI</t>
  </si>
  <si>
    <t xml:space="preserve">صافي الربح – المطور يتحمل ضريبة الشراء</t>
  </si>
  <si>
    <t xml:space="preserve">IRR سنوي (المطور يتحمل)</t>
  </si>
  <si>
    <t xml:space="preserve">الحساسية تفترض سداد كامل المبلغ مقدماً والبيع بعد المدة المحددة. عروض القادسية المرصودة بين 1.2 و1.5 مليون.</t>
  </si>
  <si>
    <t xml:space="preserve">هـ) سيناريو بديل – الاحتفاظ بالوحدات وتأجيرها</t>
  </si>
  <si>
    <t xml:space="preserve">إجمالي الإيجار السنوي (12 وحدة)</t>
  </si>
  <si>
    <t xml:space="preserve">بعد نسبة الإشغال</t>
  </si>
  <si>
    <t xml:space="preserve">صافي الدخل التشغيلي بعد المصاريف</t>
  </si>
  <si>
    <t xml:space="preserve">العائد الإيجاري الإجمالي على سعر الشراء</t>
  </si>
  <si>
    <t xml:space="preserve">صافي العائد الإيجاري على إجمالي التكلفة</t>
  </si>
  <si>
    <t xml:space="preserve">العائد الإيجاري الإجمالي لو اشتُريت بمتوسط سعر القادسية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</si>
</sst>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;\(#,##0\);\-"/>
    <numFmt numFmtId="167" formatCode="#,##0.00"/>
    <numFmt numFmtId="168" formatCode="0.0%;\(0.0%\);\-"/>
    <numFmt numFmtId="169" formatCode="#,##0"/>
    <numFmt numFmtId="170" formatCode="#,##0.00&quot; م²&quot;"/>
    <numFmt numFmtId="171" formatCode="0.0"/>
    <numFmt numFmtId="172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BF8F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سعر الوحدة – عروض القادسية مقابل سعرنا (ريال)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'المقارنات السعرية'!I5</c:f>
              <c:strCache>
                <c:ptCount val="1"/>
                <c:pt idx="0">
                  <c:v>السعر المعروض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'المقارنات السعرية'!$D$6:$D$12</c:f>
              <c:strCache>
                <c:ptCount val="7"/>
                <c:pt idx="0">
                  <c:v>تاون هاوس أرضي على شارع 20</c:v>
                </c:pt>
                <c:pt idx="1">
                  <c:v>تاون هاوس علوي – نفس المبنى</c:v>
                </c:pt>
                <c:pt idx="2">
                  <c:v>تاون هاوس مودرن واجهة شرقية 4 غرف</c:v>
                </c:pt>
                <c:pt idx="3">
                  <c:v>شقة تاون هاوس دوبلكس 3 أدوار</c:v>
                </c:pt>
                <c:pt idx="4">
                  <c:v>تاون هاوس علوي بمصعد وعداد مستقل</c:v>
                </c:pt>
                <c:pt idx="5">
                  <c:v>فيلا تاون هاوس</c:v>
                </c:pt>
                <c:pt idx="6">
                  <c:v>تاون هاوس – شارع 30 غرب، 3 غرف</c:v>
                </c:pt>
              </c:strCache>
            </c:strRef>
          </c:cat>
          <c:val>
            <c:numRef>
              <c:f>'المقارنات السعرية'!$I$6:$I$12</c:f>
              <c:numCache>
                <c:formatCode>#,##0;\(#,##0\);\-</c:formatCode>
                <c:ptCount val="7"/>
                <c:pt idx="0">
                  <c:v>1500000</c:v>
                </c:pt>
                <c:pt idx="1">
                  <c:v>1400000</c:v>
                </c:pt>
                <c:pt idx="2">
                  <c:v>1350000</c:v>
                </c:pt>
                <c:pt idx="3">
                  <c:v>1250000</c:v>
                </c:pt>
                <c:pt idx="4">
                  <c:v>1200000</c:v>
                </c:pt>
                <c:pt idx="5">
                  <c:v>1200000</c:v>
                </c:pt>
                <c:pt idx="6">
                  <c:v>1200000</c:v>
                </c:pt>
              </c:numCache>
            </c:numRef>
          </c:val>
        </c:ser>
        <c:gapWidth val="150"/>
        <c:overlap val="0"/>
        <c:axId val="45375014"/>
        <c:axId val="21518310"/>
      </c:barChart>
      <c:catAx>
        <c:axId val="453750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18310"/>
        <c:crosses val="autoZero"/>
        <c:auto val="1"/>
        <c:lblAlgn val="ctr"/>
        <c:lblOffset val="100"/>
        <c:noMultiLvlLbl val="0"/>
      </c:catAx>
      <c:valAx>
        <c:axId val="21518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750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-354600</xdr:colOff>
      <xdr:row>42</xdr:row>
      <xdr:rowOff>157680</xdr:rowOff>
    </xdr:from>
    <xdr:to>
      <xdr:col>6</xdr:col>
      <xdr:colOff>0</xdr:colOff>
      <xdr:row>57</xdr:row>
      <xdr:rowOff>179640</xdr:rowOff>
    </xdr:to>
    <xdr:graphicFrame>
      <xdr:nvGraphicFramePr>
        <xdr:cNvPr id="0" name="Chart 1"/>
        <xdr:cNvGraphicFramePr/>
      </xdr:nvGraphicFramePr>
      <xdr:xfrm>
        <a:off x="-7733160" y="8572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haraj.com.sa/11140216303/" TargetMode="External"/><Relationship Id="rId2" Type="http://schemas.openxmlformats.org/officeDocument/2006/relationships/hyperlink" Target="https://haraj.com.sa/11140216303/" TargetMode="External"/><Relationship Id="rId3" Type="http://schemas.openxmlformats.org/officeDocument/2006/relationships/hyperlink" Target="https://sa.aqar.fm/&#1601;&#1604;&#1604;-&#1604;&#1604;&#1576;&#1610;&#1593;/&#1575;&#1604;&#1585;&#1610;&#1575;&#1590;/&#1588;&#1585;&#1602;-&#1575;&#1604;&#1585;&#1610;&#1575;&#1590;/&#1581;&#1610;-&#1575;&#1604;&#1602;&#1575;&#1583;&#1587;&#1610;&#1577;/&#1578;&#1575;&#1608;&#1606;-&#1607;&#1575;&#1608;&#1587;" TargetMode="External"/><Relationship Id="rId4" Type="http://schemas.openxmlformats.org/officeDocument/2006/relationships/hyperlink" Target="https://www.bayut.sa/en/for-sale/villas/riyadh/east-riyadh/al-qadisiyah/" TargetMode="External"/><Relationship Id="rId5" Type="http://schemas.openxmlformats.org/officeDocument/2006/relationships/hyperlink" Target="https://haraj.com.sa/en/11164555558/" TargetMode="External"/><Relationship Id="rId6" Type="http://schemas.openxmlformats.org/officeDocument/2006/relationships/hyperlink" Target="https://haraj.com.sa/11151387860/" TargetMode="External"/><Relationship Id="rId7" Type="http://schemas.openxmlformats.org/officeDocument/2006/relationships/hyperlink" Target="https://www.bayut.sa/en/property/details-87578604.html" TargetMode="External"/>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52"/>
    <col collapsed="false" customWidth="true" hidden="false" outlineLevel="0" max="6" min="6" style="0" width="20"/>
  </cols>
  <sheetData>
    <row r="2" customFormat="false" ht="21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  <c r="C5" s="3"/>
      <c r="E5" s="3" t="s">
        <v>3</v>
      </c>
      <c r="F5" s="3"/>
    </row>
    <row r="6" customFormat="false" ht="15" hidden="false" customHeight="false" outlineLevel="0" collapsed="false">
      <c r="B6" s="4" t="s">
        <v>4</v>
      </c>
      <c r="C6" s="5" t="n">
        <f aca="false">الافتراضات!$C$7</f>
        <v>12</v>
      </c>
      <c r="E6" s="4" t="s">
        <v>5</v>
      </c>
      <c r="F6" s="6" t="n">
        <f aca="false">'المقارنات السعرية'!E30</f>
        <v>1300000</v>
      </c>
    </row>
    <row r="7" customFormat="false" ht="15" hidden="false" customHeight="false" outlineLevel="0" collapsed="false">
      <c r="B7" s="4" t="s">
        <v>6</v>
      </c>
      <c r="C7" s="6" t="n">
        <f aca="false">الافتراضات!$C$8</f>
        <v>1150000</v>
      </c>
      <c r="E7" s="4" t="s">
        <v>7</v>
      </c>
      <c r="F7" s="6" t="n">
        <f aca="false">'المقارنات السعرية'!F30</f>
        <v>1500000</v>
      </c>
    </row>
    <row r="8" customFormat="false" ht="15" hidden="false" customHeight="false" outlineLevel="0" collapsed="false">
      <c r="B8" s="4" t="s">
        <v>8</v>
      </c>
      <c r="C8" s="7" t="n">
        <f aca="false">الافتراضات!$C$13</f>
        <v>273.64</v>
      </c>
      <c r="E8" s="4" t="s">
        <v>9</v>
      </c>
      <c r="F8" s="8" t="str">
        <f aca="false">'المقارنات السعرية'!I34&amp;" من "&amp;'المقارنات السعرية'!D30</f>
        <v>7 من 7</v>
      </c>
    </row>
    <row r="9" customFormat="false" ht="15" hidden="false" customHeight="false" outlineLevel="0" collapsed="false">
      <c r="B9" s="4" t="s">
        <v>10</v>
      </c>
      <c r="C9" s="6" t="n">
        <f aca="false">'المقارنات السعرية'!J13</f>
        <v>4202.60195877796</v>
      </c>
      <c r="E9" s="4" t="s">
        <v>11</v>
      </c>
      <c r="F9" s="9" t="n">
        <f aca="false">'المقارنات السعرية'!I36</f>
        <v>0.115384615384615</v>
      </c>
    </row>
    <row r="10" customFormat="false" ht="15" hidden="false" customHeight="false" outlineLevel="0" collapsed="false">
      <c r="B10" s="4" t="s">
        <v>12</v>
      </c>
      <c r="C10" s="6" t="n">
        <f aca="false">'العائد على المستثمر'!C5</f>
        <v>13800000</v>
      </c>
      <c r="E10" s="4" t="s">
        <v>13</v>
      </c>
      <c r="F10" s="10" t="n">
        <f aca="false">'المقارنات السعرية'!G30</f>
        <v>235.142857142857</v>
      </c>
    </row>
    <row r="11" customFormat="false" ht="15" hidden="false" customHeight="false" outlineLevel="0" collapsed="false">
      <c r="B11" s="4" t="s">
        <v>14</v>
      </c>
      <c r="C11" s="6" t="n">
        <f aca="false">'العائد على المستثمر'!C7</f>
        <v>14490000</v>
      </c>
      <c r="E11" s="4" t="s">
        <v>15</v>
      </c>
      <c r="F11" s="11" t="n">
        <f aca="false">'العائد على المستثمر'!C10</f>
        <v>2400000</v>
      </c>
    </row>
    <row r="13" customFormat="false" ht="16.15" hidden="false" customHeight="false" outlineLevel="0" collapsed="false">
      <c r="B13" s="3" t="s">
        <v>16</v>
      </c>
      <c r="C13" s="3"/>
      <c r="E13" s="3" t="s">
        <v>17</v>
      </c>
      <c r="F13" s="3"/>
    </row>
    <row r="14" customFormat="false" ht="15" hidden="false" customHeight="false" outlineLevel="0" collapsed="false">
      <c r="B14" s="4" t="s">
        <v>18</v>
      </c>
      <c r="C14" s="11" t="n">
        <f aca="false">'العائد على المستثمر'!C22</f>
        <v>495000</v>
      </c>
      <c r="E14" s="4" t="s">
        <v>19</v>
      </c>
      <c r="F14" s="11" t="n">
        <f aca="false">'العائد على المستثمر'!C42</f>
        <v>900000</v>
      </c>
    </row>
    <row r="15" customFormat="false" ht="15" hidden="false" customHeight="false" outlineLevel="0" collapsed="false">
      <c r="B15" s="4" t="s">
        <v>20</v>
      </c>
      <c r="C15" s="9" t="n">
        <f aca="false">'العائد على المستثمر'!C23</f>
        <v>0.0341614906832298</v>
      </c>
      <c r="E15" s="4" t="s">
        <v>21</v>
      </c>
      <c r="F15" s="11" t="n">
        <f aca="false">'العائد على المستثمر'!C44</f>
        <v>795150</v>
      </c>
    </row>
    <row r="16" customFormat="false" ht="15" hidden="false" customHeight="false" outlineLevel="0" collapsed="false">
      <c r="B16" s="4" t="s">
        <v>22</v>
      </c>
      <c r="C16" s="9" t="n">
        <f aca="false">'العائد على المستثمر'!C25</f>
        <v>0.0169373091214771</v>
      </c>
      <c r="E16" s="4" t="s">
        <v>23</v>
      </c>
      <c r="F16" s="9" t="n">
        <f aca="false">'العائد على المستثمر'!C45</f>
        <v>0.0652173913043478</v>
      </c>
    </row>
    <row r="17" customFormat="false" ht="15" hidden="false" customHeight="false" outlineLevel="0" collapsed="false">
      <c r="B17" s="4" t="s">
        <v>24</v>
      </c>
      <c r="C17" s="11" t="n">
        <f aca="false">'العائد على المستثمر'!E34</f>
        <v>1185000</v>
      </c>
      <c r="E17" s="4" t="s">
        <v>25</v>
      </c>
      <c r="F17" s="9" t="n">
        <f aca="false">'العائد على المستثمر'!C46</f>
        <v>0.0548757763975155</v>
      </c>
    </row>
    <row r="18" customFormat="false" ht="15" hidden="false" customHeight="false" outlineLevel="0" collapsed="false">
      <c r="B18" s="4" t="s">
        <v>26</v>
      </c>
      <c r="C18" s="9" t="n">
        <f aca="false">'العائد على المستثمر'!F34</f>
        <v>0.0858695652173912</v>
      </c>
      <c r="E18" s="4" t="s">
        <v>27</v>
      </c>
      <c r="F18" s="9" t="n">
        <f aca="false">'العائد على المستثمر'!C47</f>
        <v>0.0576923076923077</v>
      </c>
    </row>
    <row r="20" customFormat="false" ht="16.15" hidden="false" customHeight="false" outlineLevel="0" collapsed="false">
      <c r="B20" s="3" t="s">
        <v>28</v>
      </c>
      <c r="C20" s="3"/>
      <c r="D20" s="3"/>
      <c r="E20" s="3"/>
      <c r="F20" s="3"/>
    </row>
    <row r="21" customFormat="false" ht="21.75" hidden="false" customHeight="true" outlineLevel="0" collapsed="false">
      <c r="B21" s="12" t="str">
        <f aca="false">"• "&amp;F8&amp;" تاون هاوس في القادسية معروضة بأعلى من سعرنا، تصل إلى "&amp;TEXT(F7,"#,##0")&amp;" ريال – ومتوسط الحي "&amp;TEXT(F6,"#,##0")&amp;" ريال."</f>
        <v>• 7 من 7 تاون هاوس في القادسية معروضة بأعلى من سعرنا، تصل إلى 1,500,000 ريال – ومتوسط الحي 1,300,000 ريال.</v>
      </c>
      <c r="C21" s="12"/>
      <c r="D21" s="12"/>
      <c r="E21" s="12"/>
      <c r="F21" s="12"/>
    </row>
    <row r="22" customFormat="false" ht="21.75" hidden="false" customHeight="true" outlineLevel="0" collapsed="false">
      <c r="B22" s="12" t="str">
        <f aca="false">"• وحدتنا "&amp;TEXT(C8,"#,##0")&amp;" م² على 4 مستويات مقابل متوسط "&amp;TEXT(F10,"#,##0")&amp;" م² في الحي – مساحة أكبر بسعر أقل."</f>
        <v>• وحدتنا 274 م² على 4 مستويات مقابل متوسط 235 م² في الحي – مساحة أكبر بسعر أقل.</v>
      </c>
      <c r="C22" s="12"/>
      <c r="D22" s="12"/>
      <c r="E22" s="12"/>
      <c r="F22" s="12"/>
    </row>
    <row r="23" customFormat="false" ht="21.75" hidden="false" customHeight="true" outlineLevel="0" collapsed="false">
      <c r="B23" s="12" t="s">
        <v>29</v>
      </c>
      <c r="C23" s="12"/>
      <c r="D23" s="12"/>
      <c r="E23" s="12"/>
      <c r="F23" s="12"/>
    </row>
    <row r="24" customFormat="false" ht="21.75" hidden="false" customHeight="true" outlineLevel="0" collapsed="false">
      <c r="B24" s="12" t="s">
        <v>30</v>
      </c>
      <c r="C24" s="12"/>
      <c r="D24" s="12"/>
      <c r="E24" s="12"/>
      <c r="F24" s="12"/>
    </row>
    <row r="25" customFormat="false" ht="21.75" hidden="false" customHeight="true" outlineLevel="0" collapsed="false">
      <c r="B25" s="12" t="s">
        <v>31</v>
      </c>
      <c r="C25" s="12"/>
      <c r="D25" s="12"/>
      <c r="E25" s="12"/>
      <c r="F25" s="12"/>
    </row>
    <row r="26" customFormat="false" ht="21.75" hidden="false" customHeight="true" outlineLevel="0" collapsed="false">
      <c r="B26" s="12" t="s">
        <v>32</v>
      </c>
      <c r="C26" s="12"/>
      <c r="D26" s="12"/>
      <c r="E26" s="12"/>
      <c r="F26" s="12"/>
    </row>
    <row r="27" customFormat="false" ht="21.75" hidden="false" customHeight="true" outlineLevel="0" collapsed="false">
      <c r="B27" s="12" t="str">
        <f aca="false">"• للتأجير: عائد إجمالي "&amp;TEXT(F16,"0.0%")&amp;" على سعر الشراء مقابل "&amp;TEXT(F18,"0.0%")&amp;" لمن يشتري بمتوسط سعر الحي."</f>
        <v>• للتأجير: عائد إجمالي 6.5% على سعر الشراء مقابل 5.8% لمن يشتري بمتوسط سعر الحي.</v>
      </c>
      <c r="C27" s="12"/>
      <c r="D27" s="12"/>
      <c r="E27" s="12"/>
      <c r="F27" s="12"/>
    </row>
    <row r="29" customFormat="false" ht="15" hidden="false" customHeight="true" outlineLevel="0" collapsed="false">
      <c r="B29" s="13" t="s">
        <v>33</v>
      </c>
      <c r="C29" s="13"/>
      <c r="D29" s="13"/>
      <c r="E29" s="13"/>
      <c r="F29" s="13"/>
    </row>
    <row r="30" customFormat="false" ht="15" hidden="false" customHeight="false" outlineLevel="0" collapsed="false">
      <c r="B30" s="13"/>
      <c r="C30" s="13"/>
      <c r="D30" s="13"/>
      <c r="E30" s="13"/>
      <c r="F30" s="13"/>
    </row>
  </sheetData>
  <mergeCells count="13">
    <mergeCell ref="B5:C5"/>
    <mergeCell ref="E5:F5"/>
    <mergeCell ref="B13:C13"/>
    <mergeCell ref="E13:F13"/>
    <mergeCell ref="B20:F20"/>
    <mergeCell ref="B21:F21"/>
    <mergeCell ref="B22:F22"/>
    <mergeCell ref="B23:F23"/>
    <mergeCell ref="B24:F24"/>
    <mergeCell ref="B25:F25"/>
    <mergeCell ref="B26:F26"/>
    <mergeCell ref="B27:F27"/>
    <mergeCell ref="B29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5" min="5" style="0" width="52"/>
  </cols>
  <sheetData>
    <row r="2" customFormat="false" ht="22.05" hidden="false" customHeight="false" outlineLevel="0" collapsed="false">
      <c r="B2" s="1" t="s">
        <v>34</v>
      </c>
    </row>
    <row r="3" customFormat="false" ht="15" hidden="false" customHeight="false" outlineLevel="0" collapsed="false">
      <c r="B3" s="2" t="s">
        <v>35</v>
      </c>
    </row>
    <row r="5" customFormat="false" ht="15" hidden="false" customHeight="false" outlineLevel="0" collapsed="false">
      <c r="B5" s="14" t="s">
        <v>36</v>
      </c>
      <c r="C5" s="14" t="s">
        <v>37</v>
      </c>
      <c r="D5" s="14" t="s">
        <v>38</v>
      </c>
      <c r="E5" s="14" t="s">
        <v>39</v>
      </c>
    </row>
    <row r="6" customFormat="false" ht="36" hidden="false" customHeight="true" outlineLevel="0" collapsed="false">
      <c r="B6" s="15" t="s">
        <v>40</v>
      </c>
      <c r="C6" s="16" t="s">
        <v>41</v>
      </c>
      <c r="D6" s="4" t="s">
        <v>42</v>
      </c>
      <c r="E6" s="4" t="s">
        <v>43</v>
      </c>
    </row>
    <row r="7" customFormat="false" ht="36" hidden="false" customHeight="true" outlineLevel="0" collapsed="false">
      <c r="B7" s="15" t="s">
        <v>44</v>
      </c>
      <c r="C7" s="16" t="s">
        <v>45</v>
      </c>
      <c r="D7" s="4" t="s">
        <v>46</v>
      </c>
      <c r="E7" s="4" t="s">
        <v>47</v>
      </c>
    </row>
    <row r="8" customFormat="false" ht="36" hidden="false" customHeight="true" outlineLevel="0" collapsed="false">
      <c r="B8" s="15" t="s">
        <v>48</v>
      </c>
      <c r="C8" s="17" t="n">
        <f aca="false">الافتراضات!$C$13</f>
        <v>273.64</v>
      </c>
      <c r="D8" s="4" t="str">
        <f aca="false">"متوسط "&amp;TEXT('المقارنات السعرية'!G30,"#,##0")&amp;" م²"</f>
        <v>متوسط 235 م²</v>
      </c>
      <c r="E8" s="4" t="s">
        <v>49</v>
      </c>
    </row>
    <row r="9" customFormat="false" ht="36" hidden="false" customHeight="true" outlineLevel="0" collapsed="false">
      <c r="B9" s="15" t="s">
        <v>50</v>
      </c>
      <c r="C9" s="18" t="s">
        <v>51</v>
      </c>
      <c r="D9" s="4" t="s">
        <v>52</v>
      </c>
      <c r="E9" s="4" t="s">
        <v>53</v>
      </c>
    </row>
    <row r="10" customFormat="false" ht="36" hidden="false" customHeight="true" outlineLevel="0" collapsed="false">
      <c r="B10" s="15" t="s">
        <v>54</v>
      </c>
      <c r="C10" s="18" t="s">
        <v>55</v>
      </c>
      <c r="D10" s="19" t="s">
        <v>56</v>
      </c>
      <c r="E10" s="4" t="s">
        <v>57</v>
      </c>
    </row>
    <row r="11" customFormat="false" ht="36" hidden="false" customHeight="true" outlineLevel="0" collapsed="false">
      <c r="B11" s="15" t="s">
        <v>58</v>
      </c>
      <c r="C11" s="18" t="s">
        <v>59</v>
      </c>
      <c r="D11" s="19" t="s">
        <v>60</v>
      </c>
      <c r="E11" s="4" t="s">
        <v>61</v>
      </c>
    </row>
    <row r="12" customFormat="false" ht="36" hidden="false" customHeight="true" outlineLevel="0" collapsed="false">
      <c r="B12" s="15" t="s">
        <v>62</v>
      </c>
      <c r="C12" s="16" t="s">
        <v>63</v>
      </c>
      <c r="D12" s="4" t="s">
        <v>64</v>
      </c>
      <c r="E12" s="4" t="s">
        <v>65</v>
      </c>
    </row>
    <row r="13" customFormat="false" ht="36" hidden="false" customHeight="true" outlineLevel="0" collapsed="false">
      <c r="B13" s="15" t="s">
        <v>66</v>
      </c>
      <c r="C13" s="16" t="s">
        <v>67</v>
      </c>
      <c r="D13" s="4" t="s">
        <v>68</v>
      </c>
      <c r="E13" s="4" t="s">
        <v>69</v>
      </c>
    </row>
    <row r="14" customFormat="false" ht="36" hidden="false" customHeight="true" outlineLevel="0" collapsed="false">
      <c r="B14" s="15" t="s">
        <v>70</v>
      </c>
      <c r="C14" s="18" t="s">
        <v>71</v>
      </c>
      <c r="D14" s="4" t="s">
        <v>72</v>
      </c>
      <c r="E14" s="4" t="s">
        <v>73</v>
      </c>
    </row>
    <row r="15" customFormat="false" ht="36" hidden="false" customHeight="true" outlineLevel="0" collapsed="false">
      <c r="B15" s="15" t="s">
        <v>74</v>
      </c>
      <c r="C15" s="16" t="s">
        <v>75</v>
      </c>
      <c r="D15" s="4" t="s">
        <v>76</v>
      </c>
      <c r="E15" s="4" t="s">
        <v>77</v>
      </c>
    </row>
    <row r="16" customFormat="false" ht="36" hidden="false" customHeight="true" outlineLevel="0" collapsed="false">
      <c r="B16" s="15" t="s">
        <v>78</v>
      </c>
      <c r="C16" s="16" t="s">
        <v>79</v>
      </c>
      <c r="D16" s="4" t="s">
        <v>80</v>
      </c>
      <c r="E16" s="4" t="s">
        <v>81</v>
      </c>
    </row>
    <row r="17" customFormat="false" ht="36" hidden="false" customHeight="true" outlineLevel="0" collapsed="false">
      <c r="B17" s="15" t="s">
        <v>82</v>
      </c>
      <c r="C17" s="16" t="s">
        <v>83</v>
      </c>
      <c r="D17" s="4" t="s">
        <v>84</v>
      </c>
      <c r="E17" s="4" t="s">
        <v>85</v>
      </c>
    </row>
    <row r="18" customFormat="false" ht="36" hidden="false" customHeight="true" outlineLevel="0" collapsed="false">
      <c r="B18" s="15" t="s">
        <v>86</v>
      </c>
      <c r="C18" s="20" t="str">
        <f aca="false">TEXT(الافتراضات!C8,"#,##0")&amp;" ريال للوحدة"</f>
        <v>1,150,000 ريال للوحدة</v>
      </c>
      <c r="D18" s="4" t="str">
        <f aca="false">TEXT('المقارنات السعرية'!E30,"#,##0")&amp;" متوسط – حتى "&amp;TEXT('المقارنات السعرية'!F30,"#,##0")</f>
        <v>1,300,000 متوسط – حتى 1,500,000</v>
      </c>
      <c r="E18" s="4" t="s">
        <v>87</v>
      </c>
    </row>
    <row r="20" customFormat="false" ht="15" hidden="false" customHeight="false" outlineLevel="0" collapsed="false">
      <c r="B20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72"/>
  </cols>
  <sheetData>
    <row r="2" customFormat="false" ht="21.6" hidden="false" customHeight="false" outlineLevel="0" collapsed="false">
      <c r="B2" s="1" t="s">
        <v>89</v>
      </c>
    </row>
    <row r="3" customFormat="false" ht="15" hidden="false" customHeight="false" outlineLevel="0" collapsed="false">
      <c r="B3" s="2" t="s">
        <v>90</v>
      </c>
    </row>
    <row r="5" customFormat="false" ht="15" hidden="false" customHeight="false" outlineLevel="0" collapsed="false">
      <c r="B5" s="14" t="s">
        <v>91</v>
      </c>
      <c r="C5" s="14" t="s">
        <v>92</v>
      </c>
      <c r="D5" s="14" t="s">
        <v>93</v>
      </c>
    </row>
    <row r="6" customFormat="false" ht="15" hidden="false" customHeight="false" outlineLevel="0" collapsed="false">
      <c r="B6" s="3" t="s">
        <v>94</v>
      </c>
      <c r="C6" s="3"/>
      <c r="D6" s="3"/>
    </row>
    <row r="7" customFormat="false" ht="15" hidden="false" customHeight="false" outlineLevel="0" collapsed="false">
      <c r="B7" s="4" t="s">
        <v>95</v>
      </c>
      <c r="C7" s="21" t="n">
        <v>12</v>
      </c>
      <c r="D7" s="22" t="s">
        <v>96</v>
      </c>
    </row>
    <row r="8" customFormat="false" ht="15" hidden="false" customHeight="false" outlineLevel="0" collapsed="false">
      <c r="B8" s="4" t="s">
        <v>97</v>
      </c>
      <c r="C8" s="23" t="n">
        <v>1150000</v>
      </c>
      <c r="D8" s="22" t="s">
        <v>98</v>
      </c>
    </row>
    <row r="9" customFormat="false" ht="15" hidden="false" customHeight="false" outlineLevel="0" collapsed="false">
      <c r="B9" s="4" t="s">
        <v>99</v>
      </c>
      <c r="C9" s="24" t="n">
        <v>71.4</v>
      </c>
      <c r="D9" s="22" t="s">
        <v>100</v>
      </c>
    </row>
    <row r="10" customFormat="false" ht="15" hidden="false" customHeight="false" outlineLevel="0" collapsed="false">
      <c r="B10" s="4" t="s">
        <v>101</v>
      </c>
      <c r="C10" s="24" t="n">
        <v>75.33</v>
      </c>
      <c r="D10" s="22" t="s">
        <v>102</v>
      </c>
    </row>
    <row r="11" customFormat="false" ht="15" hidden="false" customHeight="false" outlineLevel="0" collapsed="false">
      <c r="B11" s="4" t="s">
        <v>103</v>
      </c>
      <c r="C11" s="24" t="n">
        <v>75.33</v>
      </c>
      <c r="D11" s="22" t="s">
        <v>104</v>
      </c>
    </row>
    <row r="12" customFormat="false" ht="15" hidden="false" customHeight="false" outlineLevel="0" collapsed="false">
      <c r="B12" s="4" t="s">
        <v>105</v>
      </c>
      <c r="C12" s="24" t="n">
        <v>51.58</v>
      </c>
      <c r="D12" s="22" t="s">
        <v>106</v>
      </c>
    </row>
    <row r="13" customFormat="false" ht="15" hidden="false" customHeight="false" outlineLevel="0" collapsed="false">
      <c r="B13" s="4" t="s">
        <v>107</v>
      </c>
      <c r="C13" s="25" t="n">
        <f aca="false">SUM(C9:C12)</f>
        <v>273.64</v>
      </c>
      <c r="D13" s="22" t="s">
        <v>108</v>
      </c>
    </row>
    <row r="14" customFormat="false" ht="15" hidden="false" customHeight="false" outlineLevel="0" collapsed="false">
      <c r="B14" s="4" t="s">
        <v>109</v>
      </c>
      <c r="C14" s="25" t="n">
        <f aca="false">SUM(C10:C12)</f>
        <v>202.24</v>
      </c>
      <c r="D14" s="22" t="s">
        <v>110</v>
      </c>
    </row>
    <row r="15" customFormat="false" ht="15" hidden="false" customHeight="false" outlineLevel="0" collapsed="false">
      <c r="B15" s="3" t="s">
        <v>111</v>
      </c>
      <c r="C15" s="3"/>
      <c r="D15" s="3"/>
    </row>
    <row r="16" customFormat="false" ht="15" hidden="false" customHeight="false" outlineLevel="0" collapsed="false">
      <c r="B16" s="4" t="s">
        <v>112</v>
      </c>
      <c r="C16" s="26" t="n">
        <v>0.05</v>
      </c>
      <c r="D16" s="22" t="s">
        <v>113</v>
      </c>
    </row>
    <row r="17" customFormat="false" ht="15" hidden="false" customHeight="false" outlineLevel="0" collapsed="false">
      <c r="B17" s="4" t="s">
        <v>114</v>
      </c>
      <c r="C17" s="26" t="n">
        <v>0</v>
      </c>
      <c r="D17" s="22" t="s">
        <v>115</v>
      </c>
    </row>
    <row r="18" customFormat="false" ht="15" hidden="false" customHeight="false" outlineLevel="0" collapsed="false">
      <c r="B18" s="3" t="s">
        <v>116</v>
      </c>
      <c r="C18" s="3"/>
      <c r="D18" s="3"/>
    </row>
    <row r="19" customFormat="false" ht="15" hidden="false" customHeight="false" outlineLevel="0" collapsed="false">
      <c r="B19" s="4" t="s">
        <v>117</v>
      </c>
      <c r="C19" s="26" t="n">
        <v>1</v>
      </c>
      <c r="D19" s="22" t="s">
        <v>118</v>
      </c>
    </row>
    <row r="20" customFormat="false" ht="15" hidden="false" customHeight="false" outlineLevel="0" collapsed="false">
      <c r="B20" s="4" t="s">
        <v>119</v>
      </c>
      <c r="C20" s="26" t="n">
        <v>0</v>
      </c>
      <c r="D20" s="22"/>
    </row>
    <row r="21" customFormat="false" ht="15" hidden="false" customHeight="false" outlineLevel="0" collapsed="false">
      <c r="B21" s="4" t="s">
        <v>120</v>
      </c>
      <c r="C21" s="26" t="n">
        <v>0</v>
      </c>
      <c r="D21" s="22"/>
    </row>
    <row r="22" customFormat="false" ht="15" hidden="false" customHeight="false" outlineLevel="0" collapsed="false">
      <c r="B22" s="4" t="s">
        <v>121</v>
      </c>
      <c r="C22" s="26" t="n">
        <v>0</v>
      </c>
      <c r="D22" s="22"/>
    </row>
    <row r="23" customFormat="false" ht="15" hidden="false" customHeight="false" outlineLevel="0" collapsed="false">
      <c r="B23" s="4" t="s">
        <v>122</v>
      </c>
      <c r="C23" s="26" t="n">
        <v>0</v>
      </c>
      <c r="D23" s="22"/>
    </row>
    <row r="24" customFormat="false" ht="15" hidden="false" customHeight="false" outlineLevel="0" collapsed="false">
      <c r="B24" s="3" t="s">
        <v>123</v>
      </c>
      <c r="C24" s="3"/>
      <c r="D24" s="3"/>
    </row>
    <row r="25" customFormat="false" ht="15" hidden="false" customHeight="false" outlineLevel="0" collapsed="false">
      <c r="B25" s="4" t="s">
        <v>124</v>
      </c>
      <c r="C25" s="23" t="n">
        <v>1350000</v>
      </c>
      <c r="D25" s="22" t="s">
        <v>125</v>
      </c>
    </row>
    <row r="26" customFormat="false" ht="15" hidden="false" customHeight="false" outlineLevel="0" collapsed="false">
      <c r="B26" s="4" t="s">
        <v>126</v>
      </c>
      <c r="C26" s="26" t="n">
        <v>0</v>
      </c>
      <c r="D26" s="22" t="s">
        <v>127</v>
      </c>
    </row>
    <row r="27" customFormat="false" ht="15" hidden="false" customHeight="false" outlineLevel="0" collapsed="false">
      <c r="B27" s="4" t="s">
        <v>128</v>
      </c>
      <c r="C27" s="26" t="n">
        <v>0</v>
      </c>
      <c r="D27" s="22" t="s">
        <v>129</v>
      </c>
    </row>
    <row r="28" customFormat="false" ht="15" hidden="false" customHeight="false" outlineLevel="0" collapsed="false">
      <c r="B28" s="4" t="s">
        <v>130</v>
      </c>
      <c r="C28" s="27" t="n">
        <v>2</v>
      </c>
      <c r="D28" s="22" t="s">
        <v>131</v>
      </c>
    </row>
    <row r="29" customFormat="false" ht="15" hidden="false" customHeight="false" outlineLevel="0" collapsed="false">
      <c r="B29" s="4" t="s">
        <v>132</v>
      </c>
      <c r="C29" s="28" t="n">
        <f aca="false">C25*(1-C26)*(1+C27)^C28</f>
        <v>1350000</v>
      </c>
      <c r="D29" s="22" t="s">
        <v>133</v>
      </c>
    </row>
    <row r="30" customFormat="false" ht="15" hidden="false" customHeight="false" outlineLevel="0" collapsed="false">
      <c r="B30" s="4" t="s">
        <v>134</v>
      </c>
      <c r="C30" s="26" t="n">
        <v>0.025</v>
      </c>
      <c r="D30" s="22" t="s">
        <v>135</v>
      </c>
    </row>
    <row r="31" customFormat="false" ht="15" hidden="false" customHeight="false" outlineLevel="0" collapsed="false">
      <c r="B31" s="4" t="s">
        <v>136</v>
      </c>
      <c r="C31" s="26" t="n">
        <v>0.05</v>
      </c>
      <c r="D31" s="22" t="s">
        <v>137</v>
      </c>
    </row>
    <row r="32" customFormat="false" ht="15" hidden="false" customHeight="false" outlineLevel="0" collapsed="false">
      <c r="B32" s="3" t="s">
        <v>138</v>
      </c>
      <c r="C32" s="3"/>
      <c r="D32" s="3"/>
    </row>
    <row r="33" customFormat="false" ht="15" hidden="false" customHeight="false" outlineLevel="0" collapsed="false">
      <c r="B33" s="4" t="s">
        <v>139</v>
      </c>
      <c r="C33" s="23" t="n">
        <v>75000</v>
      </c>
      <c r="D33" s="22" t="s">
        <v>140</v>
      </c>
    </row>
    <row r="34" customFormat="false" ht="15" hidden="false" customHeight="false" outlineLevel="0" collapsed="false">
      <c r="B34" s="4" t="s">
        <v>141</v>
      </c>
      <c r="C34" s="26" t="n">
        <v>0.95</v>
      </c>
      <c r="D34" s="22" t="s">
        <v>142</v>
      </c>
    </row>
    <row r="35" customFormat="false" ht="15" hidden="false" customHeight="false" outlineLevel="0" collapsed="false">
      <c r="B35" s="4" t="s">
        <v>143</v>
      </c>
      <c r="C35" s="26" t="n">
        <v>0.07</v>
      </c>
      <c r="D35" s="22" t="s">
        <v>144</v>
      </c>
    </row>
    <row r="36" customFormat="false" ht="15" hidden="false" customHeight="false" outlineLevel="0" collapsed="false">
      <c r="B36" s="15" t="s">
        <v>145</v>
      </c>
      <c r="C36" s="15" t="str">
        <f aca="false">IF(ROUND(SUM(C19:C23),4)=1,"صحيح","خطأ")</f>
        <v>صحيح</v>
      </c>
    </row>
  </sheetData>
  <mergeCells count="5">
    <mergeCell ref="B6:D6"/>
    <mergeCell ref="B15:D15"/>
    <mergeCell ref="B18:D18"/>
    <mergeCell ref="B24:D24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46"/>
  </cols>
  <sheetData>
    <row r="2" customFormat="false" ht="21.6" hidden="false" customHeight="false" outlineLevel="0" collapsed="false">
      <c r="B2" s="1" t="s">
        <v>146</v>
      </c>
    </row>
    <row r="3" customFormat="false" ht="15" hidden="false" customHeight="false" outlineLevel="0" collapsed="false">
      <c r="B3" s="2" t="s">
        <v>147</v>
      </c>
    </row>
    <row r="5" customFormat="false" ht="15" hidden="false" customHeight="false" outlineLevel="0" collapsed="false">
      <c r="B5" s="14" t="s">
        <v>148</v>
      </c>
      <c r="C5" s="14" t="s">
        <v>149</v>
      </c>
      <c r="D5" s="14" t="s">
        <v>150</v>
      </c>
      <c r="E5" s="14" t="s">
        <v>40</v>
      </c>
      <c r="F5" s="14" t="s">
        <v>151</v>
      </c>
      <c r="G5" s="14" t="s">
        <v>152</v>
      </c>
      <c r="H5" s="14" t="s">
        <v>153</v>
      </c>
      <c r="I5" s="14" t="s">
        <v>154</v>
      </c>
      <c r="J5" s="14" t="s">
        <v>155</v>
      </c>
      <c r="K5" s="14" t="s">
        <v>156</v>
      </c>
      <c r="L5" s="14" t="s">
        <v>157</v>
      </c>
    </row>
    <row r="6" customFormat="false" ht="15" hidden="false" customHeight="false" outlineLevel="0" collapsed="false">
      <c r="B6" s="29" t="n">
        <v>1</v>
      </c>
      <c r="C6" s="30" t="s">
        <v>158</v>
      </c>
      <c r="D6" s="4" t="s">
        <v>159</v>
      </c>
      <c r="E6" s="29" t="s">
        <v>160</v>
      </c>
      <c r="F6" s="31" t="s">
        <v>161</v>
      </c>
      <c r="G6" s="32" t="s">
        <v>162</v>
      </c>
      <c r="H6" s="33" t="n">
        <v>300</v>
      </c>
      <c r="I6" s="34" t="n">
        <v>1500000</v>
      </c>
      <c r="J6" s="35" t="n">
        <f aca="false">IFERROR(I6/H6,0)</f>
        <v>5000</v>
      </c>
      <c r="K6" s="29" t="s">
        <v>163</v>
      </c>
      <c r="L6" s="36" t="s">
        <v>164</v>
      </c>
    </row>
    <row r="7" customFormat="false" ht="15" hidden="false" customHeight="false" outlineLevel="0" collapsed="false">
      <c r="B7" s="29" t="n">
        <v>2</v>
      </c>
      <c r="C7" s="30" t="s">
        <v>158</v>
      </c>
      <c r="D7" s="4" t="s">
        <v>165</v>
      </c>
      <c r="E7" s="29" t="s">
        <v>166</v>
      </c>
      <c r="F7" s="37" t="s">
        <v>59</v>
      </c>
      <c r="G7" s="32" t="s">
        <v>162</v>
      </c>
      <c r="H7" s="33" t="n">
        <v>250</v>
      </c>
      <c r="I7" s="34" t="n">
        <v>1400000</v>
      </c>
      <c r="J7" s="35" t="n">
        <f aca="false">IFERROR(I7/H7,0)</f>
        <v>5600</v>
      </c>
      <c r="K7" s="29" t="s">
        <v>163</v>
      </c>
      <c r="L7" s="36" t="s">
        <v>164</v>
      </c>
    </row>
    <row r="8" customFormat="false" ht="15" hidden="false" customHeight="false" outlineLevel="0" collapsed="false">
      <c r="B8" s="29" t="n">
        <v>3</v>
      </c>
      <c r="C8" s="30" t="s">
        <v>158</v>
      </c>
      <c r="D8" s="4" t="s">
        <v>167</v>
      </c>
      <c r="E8" s="29" t="s">
        <v>168</v>
      </c>
      <c r="F8" s="31" t="s">
        <v>169</v>
      </c>
      <c r="G8" s="32" t="s">
        <v>162</v>
      </c>
      <c r="H8" s="33" t="n">
        <v>248</v>
      </c>
      <c r="I8" s="34" t="n">
        <v>1350000</v>
      </c>
      <c r="J8" s="35" t="n">
        <f aca="false">IFERROR(I8/H8,0)</f>
        <v>5443.54838709678</v>
      </c>
      <c r="K8" s="29" t="s">
        <v>163</v>
      </c>
      <c r="L8" s="36" t="s">
        <v>170</v>
      </c>
    </row>
    <row r="9" customFormat="false" ht="15" hidden="false" customHeight="false" outlineLevel="0" collapsed="false">
      <c r="B9" s="29" t="n">
        <v>4</v>
      </c>
      <c r="C9" s="30" t="s">
        <v>158</v>
      </c>
      <c r="D9" s="4" t="s">
        <v>171</v>
      </c>
      <c r="E9" s="29" t="s">
        <v>172</v>
      </c>
      <c r="F9" s="32" t="s">
        <v>162</v>
      </c>
      <c r="G9" s="32" t="s">
        <v>162</v>
      </c>
      <c r="H9" s="33" t="n">
        <v>215</v>
      </c>
      <c r="I9" s="34" t="n">
        <v>1250000</v>
      </c>
      <c r="J9" s="35" t="n">
        <f aca="false">IFERROR(I9/H9,0)</f>
        <v>5813.95348837209</v>
      </c>
      <c r="K9" s="29" t="s">
        <v>163</v>
      </c>
      <c r="L9" s="36" t="s">
        <v>173</v>
      </c>
    </row>
    <row r="10" customFormat="false" ht="15" hidden="false" customHeight="false" outlineLevel="0" collapsed="false">
      <c r="B10" s="29" t="n">
        <v>5</v>
      </c>
      <c r="C10" s="30" t="s">
        <v>158</v>
      </c>
      <c r="D10" s="4" t="s">
        <v>174</v>
      </c>
      <c r="E10" s="29" t="s">
        <v>166</v>
      </c>
      <c r="F10" s="37" t="s">
        <v>59</v>
      </c>
      <c r="G10" s="32" t="s">
        <v>162</v>
      </c>
      <c r="H10" s="33" t="n">
        <v>225</v>
      </c>
      <c r="I10" s="34" t="n">
        <v>1200000</v>
      </c>
      <c r="J10" s="35" t="n">
        <f aca="false">IFERROR(I10/H10,0)</f>
        <v>5333.33333333333</v>
      </c>
      <c r="K10" s="29" t="s">
        <v>175</v>
      </c>
      <c r="L10" s="36" t="s">
        <v>176</v>
      </c>
    </row>
    <row r="11" customFormat="false" ht="15" hidden="false" customHeight="false" outlineLevel="0" collapsed="false">
      <c r="B11" s="29" t="n">
        <v>6</v>
      </c>
      <c r="C11" s="30" t="s">
        <v>158</v>
      </c>
      <c r="D11" s="4" t="s">
        <v>177</v>
      </c>
      <c r="E11" s="29" t="s">
        <v>178</v>
      </c>
      <c r="F11" s="32" t="s">
        <v>162</v>
      </c>
      <c r="G11" s="32" t="s">
        <v>162</v>
      </c>
      <c r="H11" s="33" t="n">
        <v>220</v>
      </c>
      <c r="I11" s="34" t="n">
        <v>1200000</v>
      </c>
      <c r="J11" s="35" t="n">
        <f aca="false">IFERROR(I11/H11,0)</f>
        <v>5454.54545454546</v>
      </c>
      <c r="K11" s="29" t="s">
        <v>179</v>
      </c>
      <c r="L11" s="36" t="s">
        <v>180</v>
      </c>
    </row>
    <row r="12" customFormat="false" ht="15" hidden="false" customHeight="false" outlineLevel="0" collapsed="false">
      <c r="B12" s="29" t="n">
        <v>7</v>
      </c>
      <c r="C12" s="30" t="s">
        <v>158</v>
      </c>
      <c r="D12" s="4" t="s">
        <v>181</v>
      </c>
      <c r="E12" s="29" t="s">
        <v>168</v>
      </c>
      <c r="F12" s="32" t="s">
        <v>162</v>
      </c>
      <c r="G12" s="32" t="s">
        <v>162</v>
      </c>
      <c r="H12" s="33" t="n">
        <v>188</v>
      </c>
      <c r="I12" s="34" t="n">
        <v>1200000</v>
      </c>
      <c r="J12" s="35" t="n">
        <f aca="false">IFERROR(I12/H12,0)</f>
        <v>6382.97872340426</v>
      </c>
      <c r="K12" s="29" t="s">
        <v>163</v>
      </c>
      <c r="L12" s="36" t="s">
        <v>182</v>
      </c>
    </row>
    <row r="13" customFormat="false" ht="26.85" hidden="false" customHeight="false" outlineLevel="0" collapsed="false">
      <c r="B13" s="38" t="s">
        <v>183</v>
      </c>
      <c r="C13" s="38" t="s">
        <v>158</v>
      </c>
      <c r="D13" s="16" t="s">
        <v>184</v>
      </c>
      <c r="E13" s="38" t="s">
        <v>185</v>
      </c>
      <c r="F13" s="38" t="s">
        <v>186</v>
      </c>
      <c r="G13" s="38" t="s">
        <v>187</v>
      </c>
      <c r="H13" s="39" t="n">
        <f aca="false">الافتراضات!$C$13</f>
        <v>273.64</v>
      </c>
      <c r="I13" s="11" t="n">
        <f aca="false">الافتراضات!$C$8</f>
        <v>1150000</v>
      </c>
      <c r="J13" s="40" t="n">
        <f aca="false">IFERROR(I13/H13,0)</f>
        <v>4202.60195877796</v>
      </c>
      <c r="K13" s="38" t="s">
        <v>188</v>
      </c>
      <c r="L13" s="16" t="s">
        <v>189</v>
      </c>
    </row>
    <row r="14" customFormat="false" ht="15" hidden="false" customHeight="false" outlineLevel="0" collapsed="false">
      <c r="D14" s="41" t="s">
        <v>190</v>
      </c>
      <c r="H14" s="39" t="n">
        <f aca="false">الافتراضات!$C$14</f>
        <v>202.24</v>
      </c>
      <c r="I14" s="11" t="n">
        <f aca="false">الافتراضات!$C$8</f>
        <v>1150000</v>
      </c>
      <c r="J14" s="40" t="n">
        <f aca="false">IFERROR(I14/H14,0)</f>
        <v>5686.31329113924</v>
      </c>
    </row>
    <row r="15" customFormat="false" ht="15" hidden="false" customHeight="false" outlineLevel="0" collapsed="false">
      <c r="D15" s="2" t="s">
        <v>191</v>
      </c>
    </row>
    <row r="28" customFormat="false" ht="16.15" hidden="false" customHeight="false" outlineLevel="0" collapsed="false">
      <c r="B28" s="3" t="s">
        <v>192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26.85" hidden="false" customHeight="false" outlineLevel="0" collapsed="false">
      <c r="C29" s="14" t="s">
        <v>149</v>
      </c>
      <c r="D29" s="14" t="s">
        <v>193</v>
      </c>
      <c r="E29" s="14" t="s">
        <v>194</v>
      </c>
      <c r="F29" s="14" t="s">
        <v>195</v>
      </c>
      <c r="G29" s="14" t="s">
        <v>196</v>
      </c>
      <c r="H29" s="14" t="s">
        <v>197</v>
      </c>
    </row>
    <row r="30" customFormat="false" ht="15" hidden="false" customHeight="false" outlineLevel="0" collapsed="false">
      <c r="C30" s="30" t="s">
        <v>158</v>
      </c>
      <c r="D30" s="42" t="n">
        <f aca="false">COUNTIF($C$6:$C$12,C30)</f>
        <v>7</v>
      </c>
      <c r="E30" s="35" t="n">
        <f aca="false">IFERROR(AVERAGEIF($C$6:$C$12,C30,$I$6:$I$12),0)</f>
        <v>1300000</v>
      </c>
      <c r="F30" s="35" t="n">
        <f aca="false">_xlfn.MAXIFS($I$6:$I$12,$C$6:$C$12,C30)</f>
        <v>1500000</v>
      </c>
      <c r="G30" s="43" t="n">
        <f aca="false">IFERROR(AVERAGEIF($C$6:$C$12,C30,$H$6:$H$12),0)</f>
        <v>235.142857142857</v>
      </c>
      <c r="H30" s="28" t="n">
        <f aca="false">IFERROR(AVERAGEIF($C$6:$C$12,C30,$J$6:$J$12),0)</f>
        <v>5575.47991239313</v>
      </c>
    </row>
    <row r="31" customFormat="false" ht="15" hidden="false" customHeight="false" outlineLevel="0" collapsed="false">
      <c r="C31" s="38" t="s">
        <v>198</v>
      </c>
      <c r="D31" s="44" t="n">
        <f aca="false">الافتراضات!$C$7</f>
        <v>12</v>
      </c>
      <c r="E31" s="40" t="n">
        <f aca="false">I13</f>
        <v>1150000</v>
      </c>
      <c r="F31" s="40" t="n">
        <f aca="false">I13</f>
        <v>1150000</v>
      </c>
      <c r="G31" s="45" t="n">
        <f aca="false">H13</f>
        <v>273.64</v>
      </c>
      <c r="H31" s="40" t="n">
        <f aca="false">J13</f>
        <v>4202.60195877796</v>
      </c>
    </row>
    <row r="33" customFormat="false" ht="16.15" hidden="false" customHeight="false" outlineLevel="0" collapsed="false">
      <c r="B33" s="3" t="s">
        <v>199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C34" s="15" t="s">
        <v>200</v>
      </c>
      <c r="D34" s="15"/>
      <c r="E34" s="15"/>
      <c r="F34" s="15"/>
      <c r="G34" s="15"/>
      <c r="H34" s="15"/>
      <c r="I34" s="46" t="n">
        <f aca="false">COUNTIFS($C$6:$C$12,"القادسية",$I$6:$I$12,"&gt;"&amp;I13)</f>
        <v>7</v>
      </c>
    </row>
    <row r="35" customFormat="false" ht="15" hidden="false" customHeight="true" outlineLevel="0" collapsed="false">
      <c r="C35" s="15" t="s">
        <v>201</v>
      </c>
      <c r="D35" s="15"/>
      <c r="E35" s="15"/>
      <c r="F35" s="15"/>
      <c r="G35" s="15"/>
      <c r="H35" s="15"/>
      <c r="I35" s="40" t="n">
        <f aca="false">E30-E31</f>
        <v>150000</v>
      </c>
    </row>
    <row r="36" customFormat="false" ht="15" hidden="false" customHeight="true" outlineLevel="0" collapsed="false">
      <c r="C36" s="15" t="s">
        <v>202</v>
      </c>
      <c r="D36" s="15"/>
      <c r="E36" s="15"/>
      <c r="F36" s="15"/>
      <c r="G36" s="15"/>
      <c r="H36" s="15"/>
      <c r="I36" s="47" t="n">
        <f aca="false">IFERROR(1-E31/E30,0)</f>
        <v>0.115384615384615</v>
      </c>
    </row>
    <row r="37" customFormat="false" ht="15" hidden="false" customHeight="true" outlineLevel="0" collapsed="false">
      <c r="C37" s="15" t="s">
        <v>203</v>
      </c>
      <c r="D37" s="15"/>
      <c r="E37" s="15"/>
      <c r="F37" s="15"/>
      <c r="G37" s="15"/>
      <c r="H37" s="15"/>
      <c r="I37" s="47" t="n">
        <f aca="false">IFERROR(1-E31/F30,0)</f>
        <v>0.233333333333333</v>
      </c>
    </row>
    <row r="38" customFormat="false" ht="15" hidden="false" customHeight="true" outlineLevel="0" collapsed="false">
      <c r="C38" s="15" t="s">
        <v>204</v>
      </c>
      <c r="D38" s="15"/>
      <c r="E38" s="15"/>
      <c r="F38" s="15"/>
      <c r="G38" s="15"/>
      <c r="H38" s="15"/>
      <c r="I38" s="45" t="n">
        <f aca="false">G31-G30</f>
        <v>38.4971428571429</v>
      </c>
    </row>
    <row r="39" customFormat="false" ht="15" hidden="false" customHeight="true" outlineLevel="0" collapsed="false">
      <c r="C39" s="15" t="s">
        <v>205</v>
      </c>
      <c r="D39" s="15"/>
      <c r="E39" s="15"/>
      <c r="F39" s="15"/>
      <c r="G39" s="15"/>
      <c r="H39" s="15"/>
      <c r="I39" s="47" t="n">
        <f aca="false">IFERROR(1-H31/H30,0)</f>
        <v>0.246234938550052</v>
      </c>
    </row>
    <row r="40" customFormat="false" ht="15" hidden="false" customHeight="true" outlineLevel="0" collapsed="false">
      <c r="C40" s="15" t="s">
        <v>206</v>
      </c>
      <c r="D40" s="15"/>
      <c r="E40" s="15"/>
      <c r="F40" s="15"/>
      <c r="G40" s="15"/>
      <c r="H40" s="15"/>
      <c r="I40" s="47" t="n">
        <f aca="false">IFERROR(1-J14/H30,0)</f>
        <v>-0.019878715462637</v>
      </c>
    </row>
    <row r="42" customFormat="false" ht="15" hidden="false" customHeight="true" outlineLevel="0" collapsed="false">
      <c r="C42" s="13" t="s">
        <v>207</v>
      </c>
      <c r="D42" s="13"/>
      <c r="E42" s="13"/>
      <c r="F42" s="13"/>
      <c r="G42" s="13"/>
      <c r="H42" s="13"/>
      <c r="I42" s="13"/>
      <c r="J42" s="13"/>
      <c r="K42" s="13"/>
      <c r="L42" s="13"/>
    </row>
    <row r="43" customFormat="false" ht="15" hidden="false" customHeight="false" outlineLevel="0" collapsed="false"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customFormat="false" ht="15" hidden="false" customHeight="false" outlineLevel="0" collapsed="false">
      <c r="C44" s="13"/>
      <c r="D44" s="13"/>
      <c r="E44" s="13"/>
      <c r="F44" s="13"/>
      <c r="G44" s="13"/>
      <c r="H44" s="13"/>
      <c r="I44" s="13"/>
      <c r="J44" s="13"/>
      <c r="K44" s="13"/>
      <c r="L44" s="13"/>
    </row>
  </sheetData>
  <mergeCells count="10">
    <mergeCell ref="B28:L28"/>
    <mergeCell ref="B33:L33"/>
    <mergeCell ref="C34:H34"/>
    <mergeCell ref="C35:H35"/>
    <mergeCell ref="C36:H36"/>
    <mergeCell ref="C37:H37"/>
    <mergeCell ref="C38:H38"/>
    <mergeCell ref="C39:H39"/>
    <mergeCell ref="C40:H40"/>
    <mergeCell ref="C42:L44"/>
  </mergeCells>
  <conditionalFormatting sqref="I6:I12">
    <cfRule type="cellIs" priority="2" operator="greaterThan" aboveAverage="0" equalAverage="0" bottom="0" percent="0" rank="0" text="" dxfId="0">
      <formula>$I$13</formula>
    </cfRule>
  </conditionalFormatting>
  <hyperlinks>
    <hyperlink ref="L6" r:id="rId1" display="https://haraj.com.sa/11140216303/"/>
    <hyperlink ref="L7" r:id="rId2" display="https://haraj.com.sa/11140216303/"/>
    <hyperlink ref="L8" r:id="rId3" display="https://sa.aqar.fm/فلل-للبيع/الرياض/شرق-الرياض/حي-القادسية/تاون-هاوس"/>
    <hyperlink ref="L9" r:id="rId4" display="https://www.bayut.sa/en/for-sale/villas/riyadh/east-riyadh/al-qadisiyah/"/>
    <hyperlink ref="L10" r:id="rId5" display="https://haraj.com.sa/en/11164555558/"/>
    <hyperlink ref="L11" r:id="rId6" display="https://haraj.com.sa/11151387860/"/>
    <hyperlink ref="L12" r:id="rId7" display="https://www.bayut.sa/en/property/details-87578604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18"/>
  </cols>
  <sheetData>
    <row r="2" customFormat="false" ht="21.6" hidden="false" customHeight="false" outlineLevel="0" collapsed="false">
      <c r="B2" s="1" t="s">
        <v>208</v>
      </c>
    </row>
    <row r="4" customFormat="false" ht="15" hidden="false" customHeight="false" outlineLevel="0" collapsed="false">
      <c r="B4" s="3" t="s">
        <v>209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B5" s="4" t="s">
        <v>210</v>
      </c>
      <c r="C5" s="35" t="n">
        <f aca="false">الافتراضات!$C$7*الافتراضات!$C$8</f>
        <v>13800000</v>
      </c>
    </row>
    <row r="6" customFormat="false" ht="15" hidden="false" customHeight="false" outlineLevel="0" collapsed="false">
      <c r="B6" s="4" t="s">
        <v>211</v>
      </c>
      <c r="C6" s="35" t="n">
        <f aca="false">C5*(الافتراضات!$C$16+الافتراضات!$C$17)</f>
        <v>690000</v>
      </c>
    </row>
    <row r="7" customFormat="false" ht="15" hidden="false" customHeight="false" outlineLevel="0" collapsed="false">
      <c r="B7" s="15" t="s">
        <v>212</v>
      </c>
      <c r="C7" s="28" t="n">
        <f aca="false">C5+C6</f>
        <v>14490000</v>
      </c>
    </row>
    <row r="8" customFormat="false" ht="15" hidden="false" customHeight="false" outlineLevel="0" collapsed="false">
      <c r="B8" s="4" t="s">
        <v>213</v>
      </c>
      <c r="C8" s="35" t="n">
        <f aca="false">الافتراضات!$C$7*الافتراضات!$C$25</f>
        <v>16200000</v>
      </c>
    </row>
    <row r="9" customFormat="false" ht="15" hidden="false" customHeight="false" outlineLevel="0" collapsed="false">
      <c r="B9" s="4" t="s">
        <v>214</v>
      </c>
      <c r="C9" s="35" t="n">
        <f aca="false">الافتراضات!$C$7*'المقارنات السعرية'!E30</f>
        <v>15600000</v>
      </c>
    </row>
    <row r="10" customFormat="false" ht="15" hidden="false" customHeight="false" outlineLevel="0" collapsed="false">
      <c r="B10" s="15" t="s">
        <v>215</v>
      </c>
      <c r="C10" s="40" t="n">
        <f aca="false">C8-C5</f>
        <v>2400000</v>
      </c>
    </row>
    <row r="12" customFormat="false" ht="15" hidden="false" customHeight="false" outlineLevel="0" collapsed="false">
      <c r="B12" s="3" t="s">
        <v>216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14" t="s">
        <v>91</v>
      </c>
      <c r="C13" s="14" t="s">
        <v>217</v>
      </c>
      <c r="D13" s="14" t="s">
        <v>218</v>
      </c>
      <c r="E13" s="14" t="s">
        <v>219</v>
      </c>
      <c r="F13" s="14" t="s">
        <v>220</v>
      </c>
      <c r="G13" s="14" t="s">
        <v>221</v>
      </c>
      <c r="H13" s="14" t="s">
        <v>222</v>
      </c>
    </row>
    <row r="14" customFormat="false" ht="15" hidden="false" customHeight="false" outlineLevel="0" collapsed="false">
      <c r="B14" s="4" t="s">
        <v>223</v>
      </c>
      <c r="C14" s="35" t="n">
        <f aca="false">-الافتراضات!$C$19*$C$5</f>
        <v>-13800000</v>
      </c>
      <c r="D14" s="35" t="n">
        <f aca="false">-الافتراضات!$C$20*$C$5</f>
        <v>-0</v>
      </c>
      <c r="E14" s="35" t="n">
        <f aca="false">-الافتراضات!$C$21*$C$5</f>
        <v>-0</v>
      </c>
      <c r="F14" s="35" t="n">
        <f aca="false">-الافتراضات!$C$22*$C$5</f>
        <v>-0</v>
      </c>
      <c r="G14" s="35" t="n">
        <f aca="false">-الافتراضات!$C$23*$C$5</f>
        <v>-0</v>
      </c>
      <c r="H14" s="28" t="n">
        <f aca="false">SUM(C14:G14)</f>
        <v>-13800000</v>
      </c>
    </row>
    <row r="15" customFormat="false" ht="15" hidden="false" customHeight="false" outlineLevel="0" collapsed="false">
      <c r="B15" s="4" t="s">
        <v>224</v>
      </c>
      <c r="C15" s="35" t="n">
        <f aca="false">IF(0=0,-$C$6,0)</f>
        <v>-690000</v>
      </c>
      <c r="D15" s="35" t="n">
        <f aca="false">IF(1=0,-$C$6,0)</f>
        <v>0</v>
      </c>
      <c r="E15" s="35" t="n">
        <f aca="false">IF(2=0,-$C$6,0)</f>
        <v>0</v>
      </c>
      <c r="F15" s="35" t="n">
        <f aca="false">IF(3=0,-$C$6,0)</f>
        <v>0</v>
      </c>
      <c r="G15" s="35" t="n">
        <f aca="false">IF(4=0,-$C$6,0)</f>
        <v>0</v>
      </c>
      <c r="H15" s="28" t="n">
        <f aca="false">SUM(C15:G15)</f>
        <v>-690000</v>
      </c>
    </row>
    <row r="16" customFormat="false" ht="15" hidden="false" customHeight="false" outlineLevel="0" collapsed="false">
      <c r="B16" s="4" t="s">
        <v>225</v>
      </c>
      <c r="C16" s="35" t="n">
        <f aca="false">IF(0*0.5=ROUND(الافتراضات!$C$28,1),الافتراضات!$C$7*الافتراضات!$C$29,0)</f>
        <v>0</v>
      </c>
      <c r="D16" s="35" t="n">
        <f aca="false">IF(1*0.5=ROUND(الافتراضات!$C$28,1),الافتراضات!$C$7*الافتراضات!$C$29,0)</f>
        <v>0</v>
      </c>
      <c r="E16" s="35" t="n">
        <f aca="false">IF(2*0.5=ROUND(الافتراضات!$C$28,1),الافتراضات!$C$7*الافتراضات!$C$29,0)</f>
        <v>0</v>
      </c>
      <c r="F16" s="35" t="n">
        <f aca="false">IF(3*0.5=ROUND(الافتراضات!$C$28,1),الافتراضات!$C$7*الافتراضات!$C$29,0)</f>
        <v>0</v>
      </c>
      <c r="G16" s="35" t="n">
        <f aca="false">IF(4*0.5=ROUND(الافتراضات!$C$28,1),الافتراضات!$C$7*الافتراضات!$C$29,0)</f>
        <v>16200000</v>
      </c>
      <c r="H16" s="28" t="n">
        <f aca="false">SUM(C16:G16)</f>
        <v>16200000</v>
      </c>
    </row>
    <row r="17" customFormat="false" ht="15" hidden="false" customHeight="false" outlineLevel="0" collapsed="false">
      <c r="B17" s="4" t="s">
        <v>226</v>
      </c>
      <c r="C17" s="35" t="n">
        <f aca="false">-C16*(الافتراضات!$C$30+الافتراضات!$C$31)</f>
        <v>-0</v>
      </c>
      <c r="D17" s="35" t="n">
        <f aca="false">-D16*(الافتراضات!$C$30+الافتراضات!$C$31)</f>
        <v>-0</v>
      </c>
      <c r="E17" s="35" t="n">
        <f aca="false">-E16*(الافتراضات!$C$30+الافتراضات!$C$31)</f>
        <v>-0</v>
      </c>
      <c r="F17" s="35" t="n">
        <f aca="false">-F16*(الافتراضات!$C$30+الافتراضات!$C$31)</f>
        <v>-0</v>
      </c>
      <c r="G17" s="35" t="n">
        <f aca="false">-G16*(الافتراضات!$C$30+الافتراضات!$C$31)</f>
        <v>-1215000</v>
      </c>
      <c r="H17" s="28" t="n">
        <f aca="false">SUM(C17:G17)</f>
        <v>-1215000</v>
      </c>
    </row>
    <row r="18" customFormat="false" ht="15" hidden="false" customHeight="false" outlineLevel="0" collapsed="false">
      <c r="B18" s="15" t="s">
        <v>227</v>
      </c>
      <c r="C18" s="48" t="n">
        <f aca="false">SUM(C14:C17)</f>
        <v>-14490000</v>
      </c>
      <c r="D18" s="48" t="n">
        <f aca="false">SUM(D14:D17)</f>
        <v>0</v>
      </c>
      <c r="E18" s="48" t="n">
        <f aca="false">SUM(E14:E17)</f>
        <v>0</v>
      </c>
      <c r="F18" s="48" t="n">
        <f aca="false">SUM(F14:F17)</f>
        <v>0</v>
      </c>
      <c r="G18" s="48" t="n">
        <f aca="false">SUM(G14:G17)</f>
        <v>14985000</v>
      </c>
      <c r="H18" s="48" t="n">
        <f aca="false">SUM(C18:G18)</f>
        <v>495000</v>
      </c>
    </row>
    <row r="19" customFormat="false" ht="15" hidden="false" customHeight="false" outlineLevel="0" collapsed="false">
      <c r="B19" s="4" t="s">
        <v>228</v>
      </c>
      <c r="C19" s="35" t="n">
        <f aca="false">SUM($C$18:C18)</f>
        <v>-14490000</v>
      </c>
      <c r="D19" s="35" t="n">
        <f aca="false">SUM($C$18:D18)</f>
        <v>-14490000</v>
      </c>
      <c r="E19" s="35" t="n">
        <f aca="false">SUM($C$18:E18)</f>
        <v>-14490000</v>
      </c>
      <c r="F19" s="35" t="n">
        <f aca="false">SUM($C$18:F18)</f>
        <v>-14490000</v>
      </c>
      <c r="G19" s="35" t="n">
        <f aca="false">SUM($C$18:G18)</f>
        <v>495000</v>
      </c>
      <c r="H19" s="28" t="n">
        <f aca="false">G19</f>
        <v>495000</v>
      </c>
    </row>
    <row r="21" customFormat="false" ht="15" hidden="false" customHeight="false" outlineLevel="0" collapsed="false">
      <c r="B21" s="3" t="s">
        <v>229</v>
      </c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B22" s="15" t="s">
        <v>230</v>
      </c>
      <c r="C22" s="40" t="n">
        <f aca="false">H18</f>
        <v>495000</v>
      </c>
    </row>
    <row r="23" customFormat="false" ht="15" hidden="false" customHeight="false" outlineLevel="0" collapsed="false">
      <c r="B23" s="15" t="s">
        <v>231</v>
      </c>
      <c r="C23" s="47" t="n">
        <f aca="false">IFERROR(H18/-SUMIF(C18:G18,"&lt;0"),0)</f>
        <v>0.0341614906832298</v>
      </c>
    </row>
    <row r="24" customFormat="false" ht="15" hidden="false" customHeight="false" outlineLevel="0" collapsed="false">
      <c r="B24" s="15" t="s">
        <v>232</v>
      </c>
      <c r="C24" s="47" t="n">
        <f aca="false">IFERROR(C23/الافتراضات!$C$28,0)</f>
        <v>0.0170807453416149</v>
      </c>
    </row>
    <row r="25" customFormat="false" ht="15" hidden="false" customHeight="false" outlineLevel="0" collapsed="false">
      <c r="B25" s="15" t="s">
        <v>233</v>
      </c>
      <c r="C25" s="47" t="n">
        <f aca="false">IFERROR((1+IRR(C18:G18))^2-1,0)</f>
        <v>0.0169373091214771</v>
      </c>
    </row>
    <row r="26" customFormat="false" ht="15" hidden="false" customHeight="false" outlineLevel="0" collapsed="false">
      <c r="B26" s="15" t="s">
        <v>234</v>
      </c>
      <c r="C26" s="40" t="n">
        <f aca="false">IFERROR(C7/(1-الافتراضات!$C$30-الافتراضات!$C$31)/الافتراضات!$C$7,0)</f>
        <v>1305405.40540541</v>
      </c>
    </row>
    <row r="27" customFormat="false" ht="15" hidden="false" customHeight="false" outlineLevel="0" collapsed="false">
      <c r="B27" s="15" t="s">
        <v>235</v>
      </c>
      <c r="C27" s="47" t="n">
        <f aca="false">IFERROR(1-C26/الافتراضات!$C$29,0)</f>
        <v>0.033033033033033</v>
      </c>
    </row>
    <row r="29" customFormat="false" ht="15" hidden="false" customHeight="false" outlineLevel="0" collapsed="false">
      <c r="B29" s="3" t="s">
        <v>236</v>
      </c>
      <c r="C29" s="3"/>
      <c r="D29" s="3"/>
      <c r="E29" s="3"/>
      <c r="F29" s="3"/>
      <c r="G29" s="3"/>
      <c r="H29" s="3"/>
    </row>
    <row r="30" customFormat="false" ht="26.85" hidden="false" customHeight="false" outlineLevel="0" collapsed="false">
      <c r="B30" s="14" t="s">
        <v>237</v>
      </c>
      <c r="C30" s="14" t="s">
        <v>238</v>
      </c>
      <c r="D30" s="14" t="s">
        <v>239</v>
      </c>
      <c r="E30" s="14" t="s">
        <v>240</v>
      </c>
      <c r="F30" s="14" t="s">
        <v>239</v>
      </c>
      <c r="G30" s="14" t="s">
        <v>241</v>
      </c>
    </row>
    <row r="31" customFormat="false" ht="15" hidden="false" customHeight="false" outlineLevel="0" collapsed="false">
      <c r="B31" s="49" t="n">
        <v>1200000</v>
      </c>
      <c r="C31" s="28" t="n">
        <f aca="false">الافتراضات!$C$7*B31*(1-الافتراضات!$C$30-الافتراضات!$C$31)-الافتراضات!$C$7*الافتراضات!$C$8*(1+الافتراضات!$C$16+الافتراضات!$C$17)</f>
        <v>-1170000</v>
      </c>
      <c r="D31" s="50" t="n">
        <f aca="false">IFERROR(C31/(الافتراضات!$C$7*الافتراضات!$C$8*(1+الافتراضات!$C$16+الافتراضات!$C$17)),0)</f>
        <v>-0.080745341614907</v>
      </c>
      <c r="E31" s="28" t="n">
        <f aca="false">الافتراضات!$C$7*B31*(1-الافتراضات!$C$30-الافتراضات!$C$31)-الافتراضات!$C$7*الافتراضات!$C$8*(1+الافتراضات!$C$17)</f>
        <v>-480000.000000002</v>
      </c>
      <c r="F31" s="50" t="n">
        <f aca="false">IFERROR(E31/(الافتراضات!$C$7*الافتراضات!$C$8*(1+الافتراضات!$C$17)),0)</f>
        <v>-0.0347826086956523</v>
      </c>
      <c r="G31" s="50" t="n">
        <f aca="false">IFERROR((الافتراضات!$C$7*B31*(1-الافتراضات!$C$30-الافتراضات!$C$31)/(الافتراضات!$C$7*الافتراضات!$C$8*(1+الافتراضات!$C$17)))^(1/الافتراضات!$C$28)-1,0)</f>
        <v>-0.0175452217509715</v>
      </c>
    </row>
    <row r="32" customFormat="false" ht="15" hidden="false" customHeight="false" outlineLevel="0" collapsed="false">
      <c r="B32" s="49" t="n">
        <v>1250000</v>
      </c>
      <c r="C32" s="28" t="n">
        <f aca="false">الافتراضات!$C$7*B32*(1-الافتراضات!$C$30-الافتراضات!$C$31)-الافتراضات!$C$7*الافتراضات!$C$8*(1+الافتراضات!$C$16+الافتراضات!$C$17)</f>
        <v>-615000.000000002</v>
      </c>
      <c r="D32" s="50" t="n">
        <f aca="false">IFERROR(C32/(الافتراضات!$C$7*الافتراضات!$C$8*(1+الافتراضات!$C$16+الافتراضات!$C$17)),0)</f>
        <v>-0.0424430641821948</v>
      </c>
      <c r="E32" s="28" t="n">
        <f aca="false">الافتراضات!$C$7*B32*(1-الافتراضات!$C$30-الافتراضات!$C$31)-الافتراضات!$C$7*الافتراضات!$C$8*(1+الافتراضات!$C$17)</f>
        <v>74999.9999999981</v>
      </c>
      <c r="F32" s="50" t="n">
        <f aca="false">IFERROR(E32/(الافتراضات!$C$7*الافتراضات!$C$8*(1+الافتراضات!$C$17)),0)</f>
        <v>0.00543478260869552</v>
      </c>
      <c r="G32" s="50" t="n">
        <f aca="false">IFERROR((الافتراضات!$C$7*B32*(1-الافتراضات!$C$30-الافتراضات!$C$31)/(الافتراضات!$C$7*الافتراضات!$C$8*(1+الافتراضات!$C$17)))^(1/الافتراضات!$C$28)-1,0)</f>
        <v>0.0027137091955487</v>
      </c>
    </row>
    <row r="33" customFormat="false" ht="15" hidden="false" customHeight="false" outlineLevel="0" collapsed="false">
      <c r="B33" s="49" t="n">
        <v>1300000</v>
      </c>
      <c r="C33" s="28" t="n">
        <f aca="false">الافتراضات!$C$7*B33*(1-الافتراضات!$C$30-الافتراضات!$C$31)-الافتراضات!$C$7*الافتراضات!$C$8*(1+الافتراضات!$C$16+الافتراضات!$C$17)</f>
        <v>-60000.0000000019</v>
      </c>
      <c r="D33" s="50" t="n">
        <f aca="false">IFERROR(C33/(الافتراضات!$C$7*الافتراضات!$C$8*(1+الافتراضات!$C$16+الافتراضات!$C$17)),0)</f>
        <v>-0.00414078674948253</v>
      </c>
      <c r="E33" s="28" t="n">
        <f aca="false">الافتراضات!$C$7*B33*(1-الافتراضات!$C$30-الافتراضات!$C$31)-الافتراضات!$C$7*الافتراضات!$C$8*(1+الافتراضات!$C$17)</f>
        <v>629999.999999998</v>
      </c>
      <c r="F33" s="50" t="n">
        <f aca="false">IFERROR(E33/(الافتراضات!$C$7*الافتراضات!$C$8*(1+الافتراضات!$C$17)),0)</f>
        <v>0.0456521739130434</v>
      </c>
      <c r="G33" s="50" t="n">
        <f aca="false">IFERROR((الافتراضات!$C$7*B33*(1-الافتراضات!$C$30-الافتراضات!$C$31)/(الافتراضات!$C$7*الافتراضات!$C$8*(1+الافتراضات!$C$17)))^(1/الافتراضات!$C$28)-1,0)</f>
        <v>0.0225713539470209</v>
      </c>
    </row>
    <row r="34" customFormat="false" ht="15" hidden="false" customHeight="false" outlineLevel="0" collapsed="false">
      <c r="B34" s="49" t="n">
        <v>1350000</v>
      </c>
      <c r="C34" s="28" t="n">
        <f aca="false">الافتراضات!$C$7*B34*(1-الافتراضات!$C$30-الافتراضات!$C$31)-الافتراضات!$C$7*الافتراضات!$C$8*(1+الافتراضات!$C$16+الافتراضات!$C$17)</f>
        <v>494999.999999998</v>
      </c>
      <c r="D34" s="50" t="n">
        <f aca="false">IFERROR(C34/(الافتراضات!$C$7*الافتراضات!$C$8*(1+الافتراضات!$C$16+الافتراضات!$C$17)),0)</f>
        <v>0.0341614906832297</v>
      </c>
      <c r="E34" s="28" t="n">
        <f aca="false">الافتراضات!$C$7*B34*(1-الافتراضات!$C$30-الافتراضات!$C$31)-الافتراضات!$C$7*الافتراضات!$C$8*(1+الافتراضات!$C$17)</f>
        <v>1185000</v>
      </c>
      <c r="F34" s="50" t="n">
        <f aca="false">IFERROR(E34/(الافتراضات!$C$7*الافتراضات!$C$8*(1+الافتراضات!$C$17)),0)</f>
        <v>0.0858695652173912</v>
      </c>
      <c r="G34" s="50" t="n">
        <f aca="false">IFERROR((الافتراضات!$C$7*B34*(1-الافتراضات!$C$30-الافتراضات!$C$31)/(الافتراضات!$C$7*الافتراضات!$C$8*(1+الافتراضات!$C$17)))^(1/الافتراضات!$C$28)-1,0)</f>
        <v>0.0420506538635208</v>
      </c>
    </row>
    <row r="35" customFormat="false" ht="15" hidden="false" customHeight="false" outlineLevel="0" collapsed="false">
      <c r="B35" s="49" t="n">
        <v>1400000</v>
      </c>
      <c r="C35" s="28" t="n">
        <f aca="false">الافتراضات!$C$7*B35*(1-الافتراضات!$C$30-الافتراضات!$C$31)-الافتراضات!$C$7*الافتراضات!$C$8*(1+الافتراضات!$C$16+الافتراضات!$C$17)</f>
        <v>1050000</v>
      </c>
      <c r="D35" s="50" t="n">
        <f aca="false">IFERROR(C35/(الافتراضات!$C$7*الافتراضات!$C$8*(1+الافتراضات!$C$16+الافتراضات!$C$17)),0)</f>
        <v>0.0724637681159419</v>
      </c>
      <c r="E35" s="28" t="n">
        <f aca="false">الافتراضات!$C$7*B35*(1-الافتراضات!$C$30-الافتراضات!$C$31)-الافتراضات!$C$7*الافتراضات!$C$8*(1+الافتراضات!$C$17)</f>
        <v>1740000</v>
      </c>
      <c r="F35" s="50" t="n">
        <f aca="false">IFERROR(E35/(الافتراضات!$C$7*الافتراضات!$C$8*(1+الافتراضات!$C$17)),0)</f>
        <v>0.126086956521739</v>
      </c>
      <c r="G35" s="50" t="n">
        <f aca="false">IFERROR((الافتراضات!$C$7*B35*(1-الافتراضات!$C$30-الافتراضات!$C$31)/(الافتراضات!$C$7*الافتراضات!$C$8*(1+الافتراضات!$C$17)))^(1/الافتراضات!$C$28)-1,0)</f>
        <v>0.0611724442906247</v>
      </c>
    </row>
    <row r="36" customFormat="false" ht="15" hidden="false" customHeight="false" outlineLevel="0" collapsed="false">
      <c r="B36" s="49" t="n">
        <v>1450000</v>
      </c>
      <c r="C36" s="28" t="n">
        <f aca="false">الافتراضات!$C$7*B36*(1-الافتراضات!$C$30-الافتراضات!$C$31)-الافتراضات!$C$7*الافتراضات!$C$8*(1+الافتراضات!$C$16+الافتراضات!$C$17)</f>
        <v>1605000</v>
      </c>
      <c r="D36" s="50" t="n">
        <f aca="false">IFERROR(C36/(الافتراضات!$C$7*الافتراضات!$C$8*(1+الافتراضات!$C$16+الافتراضات!$C$17)),0)</f>
        <v>0.110766045548654</v>
      </c>
      <c r="E36" s="28" t="n">
        <f aca="false">الافتراضات!$C$7*B36*(1-الافتراضات!$C$30-الافتراضات!$C$31)-الافتراضات!$C$7*الافتراضات!$C$8*(1+الافتراضات!$C$17)</f>
        <v>2295000</v>
      </c>
      <c r="F36" s="50" t="n">
        <f aca="false">IFERROR(E36/(الافتراضات!$C$7*الافتراضات!$C$8*(1+الافتراضات!$C$17)),0)</f>
        <v>0.166304347826087</v>
      </c>
      <c r="G36" s="50" t="n">
        <f aca="false">IFERROR((الافتراضات!$C$7*B36*(1-الافتراضات!$C$30-الافتراضات!$C$31)/(الافتراضات!$C$7*الافتراضات!$C$8*(1+الافتراضات!$C$17)))^(1/الافتراضات!$C$28)-1,0)</f>
        <v>0.079955715678234</v>
      </c>
    </row>
    <row r="37" customFormat="false" ht="15" hidden="false" customHeight="false" outlineLevel="0" collapsed="false">
      <c r="B37" s="49" t="n">
        <v>1500000</v>
      </c>
      <c r="C37" s="28" t="n">
        <f aca="false">الافتراضات!$C$7*B37*(1-الافتراضات!$C$30-الافتراضات!$C$31)-الافتراضات!$C$7*الافتراضات!$C$8*(1+الافتراضات!$C$16+الافتراضات!$C$17)</f>
        <v>2160000</v>
      </c>
      <c r="D37" s="50" t="n">
        <f aca="false">IFERROR(C37/(الافتراضات!$C$7*الافتراضات!$C$8*(1+الافتراضات!$C$16+الافتراضات!$C$17)),0)</f>
        <v>0.149068322981366</v>
      </c>
      <c r="E37" s="28" t="n">
        <f aca="false">الافتراضات!$C$7*B37*(1-الافتراضات!$C$30-الافتراضات!$C$31)-الافتراضات!$C$7*الافتراضات!$C$8*(1+الافتراضات!$C$17)</f>
        <v>2850000</v>
      </c>
      <c r="F37" s="50" t="n">
        <f aca="false">IFERROR(E37/(الافتراضات!$C$7*الافتراضات!$C$8*(1+الافتراضات!$C$17)),0)</f>
        <v>0.206521739130435</v>
      </c>
      <c r="G37" s="50" t="n">
        <f aca="false">IFERROR((الافتراضات!$C$7*B37*(1-الافتراضات!$C$30-الافتراضات!$C$31)/(الافتراضات!$C$7*الافتراضات!$C$8*(1+الافتراضات!$C$17)))^(1/الافتراضات!$C$28)-1,0)</f>
        <v>0.0984178344921547</v>
      </c>
    </row>
    <row r="38" customFormat="false" ht="15" hidden="false" customHeight="false" outlineLevel="0" collapsed="false">
      <c r="B38" s="49" t="n">
        <v>1550000</v>
      </c>
      <c r="C38" s="28" t="n">
        <f aca="false">الافتراضات!$C$7*B38*(1-الافتراضات!$C$30-الافتراضات!$C$31)-الافتراضات!$C$7*الافتراضات!$C$8*(1+الافتراضات!$C$16+الافتراضات!$C$17)</f>
        <v>2715000</v>
      </c>
      <c r="D38" s="50" t="n">
        <f aca="false">IFERROR(C38/(الافتراضات!$C$7*الافتراضات!$C$8*(1+الافتراضات!$C$16+الافتراضات!$C$17)),0)</f>
        <v>0.187370600414079</v>
      </c>
      <c r="E38" s="28" t="n">
        <f aca="false">الافتراضات!$C$7*B38*(1-الافتراضات!$C$30-الافتراضات!$C$31)-الافتراضات!$C$7*الافتراضات!$C$8*(1+الافتراضات!$C$17)</f>
        <v>3405000</v>
      </c>
      <c r="F38" s="50" t="n">
        <f aca="false">IFERROR(E38/(الافتراضات!$C$7*الافتراضات!$C$8*(1+الافتراضات!$C$17)),0)</f>
        <v>0.246739130434783</v>
      </c>
      <c r="G38" s="50" t="n">
        <f aca="false">IFERROR((الافتراضات!$C$7*B38*(1-الافتراضات!$C$30-الافتراضات!$C$31)/(الافتراضات!$C$7*الافتراضات!$C$8*(1+الافتراضات!$C$17)))^(1/الافتراضات!$C$28)-1,0)</f>
        <v>0.116574731236017</v>
      </c>
    </row>
    <row r="39" customFormat="false" ht="15" hidden="false" customHeight="false" outlineLevel="0" collapsed="false">
      <c r="B39" s="2" t="s">
        <v>242</v>
      </c>
    </row>
    <row r="41" customFormat="false" ht="15" hidden="false" customHeight="false" outlineLevel="0" collapsed="false">
      <c r="B41" s="3" t="s">
        <v>243</v>
      </c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4" t="s">
        <v>244</v>
      </c>
      <c r="C42" s="28" t="n">
        <f aca="false">الافتراضات!$C$7*الافتراضات!$C$33</f>
        <v>900000</v>
      </c>
    </row>
    <row r="43" customFormat="false" ht="15" hidden="false" customHeight="false" outlineLevel="0" collapsed="false">
      <c r="B43" s="4" t="s">
        <v>245</v>
      </c>
      <c r="C43" s="28" t="n">
        <f aca="false">C42*الافتراضات!$C$34</f>
        <v>855000</v>
      </c>
    </row>
    <row r="44" customFormat="false" ht="15" hidden="false" customHeight="false" outlineLevel="0" collapsed="false">
      <c r="B44" s="15" t="s">
        <v>246</v>
      </c>
      <c r="C44" s="28" t="n">
        <f aca="false">C43*(1-الافتراضات!$C$35)</f>
        <v>795150</v>
      </c>
    </row>
    <row r="45" customFormat="false" ht="15" hidden="false" customHeight="false" outlineLevel="0" collapsed="false">
      <c r="B45" s="4" t="s">
        <v>247</v>
      </c>
      <c r="C45" s="47" t="n">
        <f aca="false">IFERROR(C42/C5,0)</f>
        <v>0.0652173913043478</v>
      </c>
    </row>
    <row r="46" customFormat="false" ht="15" hidden="false" customHeight="false" outlineLevel="0" collapsed="false">
      <c r="B46" s="15" t="s">
        <v>248</v>
      </c>
      <c r="C46" s="47" t="n">
        <f aca="false">IFERROR(C44/C7,0)</f>
        <v>0.0548757763975155</v>
      </c>
    </row>
    <row r="47" customFormat="false" ht="15" hidden="false" customHeight="false" outlineLevel="0" collapsed="false">
      <c r="B47" s="4" t="s">
        <v>249</v>
      </c>
      <c r="C47" s="51" t="n">
        <f aca="false">IFERROR(C42/C9,0)</f>
        <v>0.0576923076923077</v>
      </c>
    </row>
  </sheetData>
  <mergeCells count="5">
    <mergeCell ref="B4:H4"/>
    <mergeCell ref="B12:H12"/>
    <mergeCell ref="B21:H21"/>
    <mergeCell ref="B29:H29"/>
    <mergeCell ref="B41:H41"/>
  </mergeCells>
  <conditionalFormatting sqref="C31:C38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conditionalFormatting sqref="E31:E38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2026-09-30T10:04:59Z</dcterms:created>
  <dc:creator>openpyxl</dc:creator>
  <dc:description/>
  <dc:language>en-US</dc:language>
  <cp:lastModifiedBy/>
  <dcterms:modified xsi:type="dcterms:W3CDTF">2026-09-30T10:05:12Z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